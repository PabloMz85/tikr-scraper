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3"/>
  <workbookPr filterPrivacy="1" codeName="ThisWorkbook"/>
  <xr:revisionPtr revIDLastSave="0" documentId="13_ncr:1_{4F720F79-5D18-9249-A48F-E0F2801336A7}" xr6:coauthVersionLast="47" xr6:coauthVersionMax="47" xr10:uidLastSave="{00000000-0000-0000-0000-000000000000}"/>
  <bookViews>
    <workbookView xWindow="4360" yWindow="680" windowWidth="29040" windowHeight="15720" tabRatio="636" firstSheet="1" activeTab="1" xr2:uid="{00000000-000D-0000-FFFF-FFFF00000000}"/>
  </bookViews>
  <sheets>
    <sheet name="Instrucciones" sheetId="13" r:id="rId1"/>
    <sheet name="1.IS" sheetId="1" r:id="rId2"/>
    <sheet name="2.FCF" sheetId="2" r:id="rId3"/>
    <sheet name="3.ROIC" sheetId="3" r:id="rId4"/>
    <sheet name="4.Valoracion" sheetId="5" r:id="rId5"/>
    <sheet name="5.Red Flags" sheetId="14" r:id="rId6"/>
    <sheet name="6.Graficos" sheetId="7" r:id="rId7"/>
    <sheet name="7.TIKR_IS" sheetId="8" r:id="rId8"/>
    <sheet name="8.TIKR_BS" sheetId="10" r:id="rId9"/>
    <sheet name="9.TIKR_CF" sheetId="11" r:id="rId10"/>
    <sheet name="10.TIKR_Val" sheetId="16" r:id="rId11"/>
    <sheet name="11.Glosario" sheetId="6" r:id="rId12"/>
    <sheet name="TIKR_Cálculos" sheetId="12" r:id="rId13"/>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50" i="5" l="1"/>
  <c r="B87" i="12"/>
  <c r="B85" i="12" a="1"/>
  <c r="B85" i="12" s="1"/>
  <c r="B86" i="12"/>
  <c r="A1" i="7"/>
  <c r="A1" i="14"/>
  <c r="A1" i="5"/>
  <c r="A1" i="3"/>
  <c r="A1" i="2"/>
  <c r="C2" i="1"/>
  <c r="G1" i="1" l="1"/>
  <c r="E3" i="1"/>
  <c r="D3" i="1"/>
  <c r="C3" i="1"/>
  <c r="B3" i="1"/>
  <c r="B2" i="1"/>
  <c r="B79" i="12"/>
  <c r="C79" i="12"/>
  <c r="D79" i="12"/>
  <c r="E79" i="12"/>
  <c r="F79" i="12"/>
  <c r="G79" i="12"/>
  <c r="H79" i="12"/>
  <c r="I79" i="12"/>
  <c r="J79" i="12"/>
  <c r="K79" i="12"/>
  <c r="K76" i="12"/>
  <c r="J76" i="12"/>
  <c r="I76" i="12"/>
  <c r="H76" i="12"/>
  <c r="G76" i="12"/>
  <c r="F76" i="12"/>
  <c r="E76" i="12"/>
  <c r="D76" i="12"/>
  <c r="C76" i="12"/>
  <c r="B76" i="12"/>
  <c r="K77" i="12"/>
  <c r="J77" i="12"/>
  <c r="I77" i="12"/>
  <c r="H77" i="12"/>
  <c r="G77" i="12"/>
  <c r="F77" i="12"/>
  <c r="E77" i="12"/>
  <c r="D77" i="12"/>
  <c r="C77" i="12"/>
  <c r="K75" i="12"/>
  <c r="J75" i="12"/>
  <c r="I75" i="12"/>
  <c r="H75" i="12"/>
  <c r="G75" i="12"/>
  <c r="F75" i="12"/>
  <c r="E75" i="12"/>
  <c r="D75" i="12"/>
  <c r="C75" i="12"/>
  <c r="B77" i="12"/>
  <c r="B75" i="12"/>
  <c r="K74" i="12"/>
  <c r="J74" i="12"/>
  <c r="I74" i="12"/>
  <c r="H74" i="12"/>
  <c r="G74" i="12"/>
  <c r="F74" i="12"/>
  <c r="E74" i="12"/>
  <c r="D74" i="12"/>
  <c r="C74" i="12"/>
  <c r="B74" i="12"/>
  <c r="K73" i="12"/>
  <c r="J73" i="12"/>
  <c r="I73" i="12"/>
  <c r="H73" i="12"/>
  <c r="G73" i="12"/>
  <c r="F73" i="12"/>
  <c r="E73" i="12"/>
  <c r="D73" i="12"/>
  <c r="C73" i="12"/>
  <c r="B73" i="12"/>
  <c r="C8" i="1"/>
  <c r="C9" i="1"/>
  <c r="C12" i="1"/>
  <c r="C13" i="1"/>
  <c r="C16" i="1"/>
  <c r="C19" i="1"/>
  <c r="C25" i="1"/>
  <c r="C3" i="5" s="1"/>
  <c r="K7" i="3"/>
  <c r="J7" i="3"/>
  <c r="I7" i="3"/>
  <c r="H7" i="3"/>
  <c r="G7" i="3"/>
  <c r="F7" i="3"/>
  <c r="E7" i="3"/>
  <c r="D7" i="3"/>
  <c r="C7" i="3"/>
  <c r="K6" i="3"/>
  <c r="J6" i="3"/>
  <c r="I6" i="3"/>
  <c r="H6" i="3"/>
  <c r="G6" i="3"/>
  <c r="F6" i="3"/>
  <c r="E6" i="3"/>
  <c r="D6" i="3"/>
  <c r="C6" i="3"/>
  <c r="B7" i="3"/>
  <c r="B6" i="3"/>
  <c r="K9" i="2"/>
  <c r="J9" i="2"/>
  <c r="I9" i="2"/>
  <c r="H9" i="2"/>
  <c r="G9" i="2"/>
  <c r="F9" i="2"/>
  <c r="E9" i="2"/>
  <c r="D9" i="2"/>
  <c r="C9" i="2"/>
  <c r="K10" i="2"/>
  <c r="J10" i="2"/>
  <c r="I10" i="2"/>
  <c r="H10" i="2"/>
  <c r="G10" i="2"/>
  <c r="F10" i="2"/>
  <c r="E10" i="2"/>
  <c r="D10" i="2"/>
  <c r="C10" i="2"/>
  <c r="B10" i="2"/>
  <c r="B9" i="2"/>
  <c r="K2" i="1"/>
  <c r="B29" i="12" s="1"/>
  <c r="G2" i="1"/>
  <c r="H2" i="1" s="1"/>
  <c r="I2" i="1" s="1"/>
  <c r="J2" i="1" s="1"/>
  <c r="F2" i="1"/>
  <c r="E2" i="1"/>
  <c r="D2" i="1"/>
  <c r="S9" i="1" l="1" a="1"/>
  <c r="S9" i="1" s="1"/>
  <c r="S2" i="1" a="1"/>
  <c r="S2" i="1" s="1"/>
  <c r="L79" i="12"/>
  <c r="L76" i="12"/>
  <c r="E78" i="12"/>
  <c r="G78" i="12"/>
  <c r="H78" i="12"/>
  <c r="F78" i="12"/>
  <c r="D78" i="12"/>
  <c r="I78" i="12"/>
  <c r="L74" i="12"/>
  <c r="J78" i="12"/>
  <c r="K78" i="12"/>
  <c r="L73" i="12"/>
  <c r="L77" i="12"/>
  <c r="C78" i="12"/>
  <c r="C8" i="14" s="1"/>
  <c r="L75" i="12"/>
  <c r="B78" i="12"/>
  <c r="C14" i="1"/>
  <c r="C15" i="1" s="1"/>
  <c r="C18" i="1" s="1"/>
  <c r="C20" i="1" s="1"/>
  <c r="C21" i="1" s="1"/>
  <c r="C5" i="1"/>
  <c r="C10" i="1"/>
  <c r="L2" i="1"/>
  <c r="C23" i="1" l="1"/>
  <c r="L78" i="12"/>
  <c r="B8" i="14"/>
  <c r="C6" i="1"/>
  <c r="C17" i="1"/>
  <c r="M2" i="1"/>
  <c r="C29" i="12"/>
  <c r="C2" i="14"/>
  <c r="B70" i="12"/>
  <c r="J70" i="12"/>
  <c r="C4" i="1"/>
  <c r="K70" i="12"/>
  <c r="I70" i="12"/>
  <c r="H70" i="12"/>
  <c r="G70" i="12"/>
  <c r="F70" i="12"/>
  <c r="E70" i="12"/>
  <c r="D70" i="12"/>
  <c r="K43" i="12"/>
  <c r="J43" i="12"/>
  <c r="I43" i="12"/>
  <c r="H43" i="12"/>
  <c r="G43" i="12"/>
  <c r="F43" i="12"/>
  <c r="E43" i="12"/>
  <c r="D43" i="12"/>
  <c r="C43" i="12"/>
  <c r="B43" i="12"/>
  <c r="B15" i="12"/>
  <c r="K8" i="1"/>
  <c r="J8" i="1"/>
  <c r="I8" i="1"/>
  <c r="H8" i="1"/>
  <c r="G8" i="1"/>
  <c r="F8" i="1"/>
  <c r="E8" i="1"/>
  <c r="D8" i="1"/>
  <c r="B8" i="1"/>
  <c r="K41" i="12"/>
  <c r="J41" i="12"/>
  <c r="I41" i="12"/>
  <c r="H41" i="12"/>
  <c r="G41" i="12"/>
  <c r="F41" i="12"/>
  <c r="E41" i="12"/>
  <c r="D41" i="12"/>
  <c r="C41" i="12"/>
  <c r="K40" i="12"/>
  <c r="J40" i="12"/>
  <c r="I40" i="12"/>
  <c r="H40" i="12"/>
  <c r="G40" i="12"/>
  <c r="F40" i="12"/>
  <c r="E40" i="12"/>
  <c r="D40" i="12"/>
  <c r="C40" i="12"/>
  <c r="B41" i="12"/>
  <c r="B40" i="12"/>
  <c r="K10" i="3"/>
  <c r="J10" i="3"/>
  <c r="I10" i="3"/>
  <c r="H10" i="3"/>
  <c r="G10" i="3"/>
  <c r="F10" i="3"/>
  <c r="E10" i="3"/>
  <c r="D10" i="3"/>
  <c r="C10" i="3"/>
  <c r="K9" i="3"/>
  <c r="J9" i="3"/>
  <c r="I9" i="3"/>
  <c r="H9" i="3"/>
  <c r="G9" i="3"/>
  <c r="F9" i="3"/>
  <c r="E9" i="3"/>
  <c r="D9" i="3"/>
  <c r="C9" i="3"/>
  <c r="K8" i="3"/>
  <c r="J8" i="3"/>
  <c r="I8" i="3"/>
  <c r="H8" i="3"/>
  <c r="G8" i="3"/>
  <c r="F8" i="3"/>
  <c r="E8" i="3"/>
  <c r="D8" i="3"/>
  <c r="C8" i="3"/>
  <c r="B36" i="12"/>
  <c r="B35" i="12"/>
  <c r="K4" i="3"/>
  <c r="J4" i="3"/>
  <c r="I4" i="3"/>
  <c r="H4" i="3"/>
  <c r="G4" i="3"/>
  <c r="F4" i="3"/>
  <c r="E4" i="3"/>
  <c r="D4" i="3"/>
  <c r="C4" i="3"/>
  <c r="B10" i="3"/>
  <c r="B9" i="3"/>
  <c r="B8" i="3"/>
  <c r="B4" i="3"/>
  <c r="K19" i="2"/>
  <c r="J19" i="2"/>
  <c r="I19" i="2"/>
  <c r="H19" i="2"/>
  <c r="G19" i="2"/>
  <c r="F19" i="2"/>
  <c r="E19" i="2"/>
  <c r="D19" i="2"/>
  <c r="C19" i="2"/>
  <c r="K8" i="2"/>
  <c r="J8" i="2"/>
  <c r="I8" i="2"/>
  <c r="H8" i="2"/>
  <c r="G8" i="2"/>
  <c r="F8" i="2"/>
  <c r="E8" i="2"/>
  <c r="D8" i="2"/>
  <c r="C8" i="2"/>
  <c r="K7" i="2"/>
  <c r="J7" i="2"/>
  <c r="I7" i="2"/>
  <c r="H7" i="2"/>
  <c r="G7" i="2"/>
  <c r="F7" i="2"/>
  <c r="F11" i="2" s="1"/>
  <c r="E7" i="2"/>
  <c r="D7" i="2"/>
  <c r="C7" i="2"/>
  <c r="B19" i="2"/>
  <c r="B8" i="2"/>
  <c r="B7" i="2"/>
  <c r="K11" i="12"/>
  <c r="K42" i="12" s="1"/>
  <c r="J11" i="12"/>
  <c r="J42" i="12" s="1"/>
  <c r="I11" i="12"/>
  <c r="I42" i="12" s="1"/>
  <c r="H11" i="12"/>
  <c r="H42" i="12" s="1"/>
  <c r="G11" i="12"/>
  <c r="G42" i="12" s="1"/>
  <c r="F11" i="12"/>
  <c r="F42" i="12" s="1"/>
  <c r="E11" i="12"/>
  <c r="E42" i="12" s="1"/>
  <c r="D11" i="12"/>
  <c r="D42" i="12" s="1"/>
  <c r="C11" i="12"/>
  <c r="C42" i="12" s="1"/>
  <c r="B11" i="12"/>
  <c r="B42" i="12" s="1"/>
  <c r="K6" i="12"/>
  <c r="J6" i="12"/>
  <c r="I6" i="12"/>
  <c r="H6" i="12"/>
  <c r="G6" i="12"/>
  <c r="F6" i="12"/>
  <c r="E6" i="12"/>
  <c r="D6" i="12"/>
  <c r="C6" i="12"/>
  <c r="B6" i="12"/>
  <c r="K4" i="12"/>
  <c r="J4" i="12"/>
  <c r="I4" i="12"/>
  <c r="H4" i="12"/>
  <c r="G4" i="12"/>
  <c r="F4" i="12"/>
  <c r="E4" i="12"/>
  <c r="D4" i="12"/>
  <c r="C4" i="12"/>
  <c r="B4" i="12"/>
  <c r="K3" i="12"/>
  <c r="J3" i="12"/>
  <c r="I3" i="12"/>
  <c r="H3" i="12"/>
  <c r="G3" i="12"/>
  <c r="F3" i="12"/>
  <c r="E3" i="12"/>
  <c r="D3" i="12"/>
  <c r="C3" i="12"/>
  <c r="B3" i="12"/>
  <c r="K2" i="12"/>
  <c r="J2" i="12"/>
  <c r="I2" i="12"/>
  <c r="H2" i="12"/>
  <c r="G2" i="12"/>
  <c r="F2" i="12"/>
  <c r="E2" i="12"/>
  <c r="D2" i="12"/>
  <c r="C2" i="12"/>
  <c r="B2" i="12"/>
  <c r="K25" i="1"/>
  <c r="K3" i="5" s="1"/>
  <c r="J25" i="1"/>
  <c r="J3" i="5" s="1"/>
  <c r="I25" i="1"/>
  <c r="I3" i="5" s="1"/>
  <c r="H25" i="1"/>
  <c r="H3" i="5" s="1"/>
  <c r="G25" i="1"/>
  <c r="G3" i="5" s="1"/>
  <c r="F25" i="1"/>
  <c r="F3" i="5" s="1"/>
  <c r="E25" i="1"/>
  <c r="E3" i="5" s="1"/>
  <c r="D25" i="1"/>
  <c r="D3" i="5" s="1"/>
  <c r="K19" i="1"/>
  <c r="K13" i="2" s="1"/>
  <c r="J19" i="1"/>
  <c r="J13" i="2" s="1"/>
  <c r="I19" i="1"/>
  <c r="I13" i="2" s="1"/>
  <c r="H19" i="1"/>
  <c r="H13" i="2" s="1"/>
  <c r="G19" i="1"/>
  <c r="G13" i="2" s="1"/>
  <c r="F19" i="1"/>
  <c r="F13" i="2" s="1"/>
  <c r="E19" i="1"/>
  <c r="E13" i="2" s="1"/>
  <c r="D19" i="1"/>
  <c r="D13" i="2" s="1"/>
  <c r="C13" i="2"/>
  <c r="K16" i="1"/>
  <c r="J16" i="1"/>
  <c r="I16" i="1"/>
  <c r="H16" i="1"/>
  <c r="H6" i="2" s="1"/>
  <c r="G16" i="1"/>
  <c r="G6" i="2" s="1"/>
  <c r="F16" i="1"/>
  <c r="F6" i="2" s="1"/>
  <c r="E16" i="1"/>
  <c r="E6" i="2" s="1"/>
  <c r="D16" i="1"/>
  <c r="D6" i="2" s="1"/>
  <c r="C6" i="2"/>
  <c r="K13" i="1"/>
  <c r="J13" i="1"/>
  <c r="I13" i="1"/>
  <c r="H13" i="1"/>
  <c r="G13" i="1"/>
  <c r="F13" i="1"/>
  <c r="E13" i="1"/>
  <c r="D13" i="1"/>
  <c r="K12" i="1"/>
  <c r="J12" i="1"/>
  <c r="I12" i="1"/>
  <c r="H12" i="1"/>
  <c r="G12" i="1"/>
  <c r="F12" i="1"/>
  <c r="E12" i="1"/>
  <c r="D12" i="1"/>
  <c r="B25" i="1"/>
  <c r="B3" i="5" s="1"/>
  <c r="B19" i="1"/>
  <c r="B16" i="1"/>
  <c r="B13" i="1"/>
  <c r="B12" i="1"/>
  <c r="K9" i="1"/>
  <c r="J9" i="1"/>
  <c r="I9" i="1"/>
  <c r="H9" i="1"/>
  <c r="G9" i="1"/>
  <c r="F9" i="1"/>
  <c r="E9" i="1"/>
  <c r="D9" i="1"/>
  <c r="D11" i="1" s="1"/>
  <c r="B9" i="1"/>
  <c r="C11" i="1" s="1"/>
  <c r="K3" i="1"/>
  <c r="J3" i="1"/>
  <c r="I3" i="1"/>
  <c r="H3" i="1"/>
  <c r="H8" i="14" s="1"/>
  <c r="G3" i="1"/>
  <c r="G8" i="14" s="1"/>
  <c r="F3" i="1"/>
  <c r="F8" i="14" s="1"/>
  <c r="E8" i="14"/>
  <c r="D4" i="1"/>
  <c r="K4" i="1" l="1"/>
  <c r="J4" i="1"/>
  <c r="I8" i="14"/>
  <c r="I4" i="1"/>
  <c r="G11" i="2"/>
  <c r="S5" i="1" a="1"/>
  <c r="S5" i="1" s="1"/>
  <c r="S3" i="1" a="1"/>
  <c r="S3" i="1" s="1"/>
  <c r="D8" i="14"/>
  <c r="K8" i="14"/>
  <c r="G11" i="1"/>
  <c r="J8" i="14"/>
  <c r="F4" i="1"/>
  <c r="J11" i="1"/>
  <c r="H4" i="1"/>
  <c r="E11" i="1"/>
  <c r="E4" i="1"/>
  <c r="G4" i="1"/>
  <c r="K11" i="1"/>
  <c r="D26" i="1"/>
  <c r="E26" i="1"/>
  <c r="F26" i="1"/>
  <c r="F11" i="1"/>
  <c r="G26" i="1"/>
  <c r="H26" i="1"/>
  <c r="H11" i="1"/>
  <c r="I26" i="1"/>
  <c r="C26" i="1"/>
  <c r="I11" i="1"/>
  <c r="J26" i="1"/>
  <c r="K26" i="1"/>
  <c r="F23" i="2"/>
  <c r="G23" i="2"/>
  <c r="G12" i="2"/>
  <c r="H11" i="2"/>
  <c r="H23" i="2" s="1"/>
  <c r="J5" i="3"/>
  <c r="J44" i="12" s="1"/>
  <c r="C5" i="3"/>
  <c r="C44" i="12" s="1"/>
  <c r="D5" i="3"/>
  <c r="D44" i="12" s="1"/>
  <c r="E5" i="3"/>
  <c r="E44" i="12" s="1"/>
  <c r="F5" i="3"/>
  <c r="F44" i="12" s="1"/>
  <c r="G5" i="3"/>
  <c r="G44" i="12" s="1"/>
  <c r="H5" i="3"/>
  <c r="H44" i="12" s="1"/>
  <c r="I5" i="3"/>
  <c r="I44" i="12" s="1"/>
  <c r="I11" i="2"/>
  <c r="B11" i="2"/>
  <c r="B23" i="2" s="1"/>
  <c r="D11" i="2"/>
  <c r="C11" i="2"/>
  <c r="C23" i="2" s="1"/>
  <c r="E11" i="2"/>
  <c r="E23" i="2" s="1"/>
  <c r="J11" i="2"/>
  <c r="J23" i="2" s="1"/>
  <c r="K11" i="2"/>
  <c r="K23" i="2" s="1"/>
  <c r="I7" i="14"/>
  <c r="I5" i="14"/>
  <c r="I6" i="14"/>
  <c r="I4" i="14"/>
  <c r="F6" i="14"/>
  <c r="F4" i="14"/>
  <c r="F7" i="14"/>
  <c r="F5" i="14"/>
  <c r="H4" i="14"/>
  <c r="H7" i="14"/>
  <c r="H5" i="14"/>
  <c r="H6" i="14"/>
  <c r="J7" i="14"/>
  <c r="J5" i="14"/>
  <c r="J6" i="14"/>
  <c r="J4" i="14"/>
  <c r="C5" i="14"/>
  <c r="C4" i="14"/>
  <c r="C6" i="14"/>
  <c r="C7" i="14"/>
  <c r="D5" i="14"/>
  <c r="D6" i="14"/>
  <c r="D4" i="14"/>
  <c r="D7" i="14"/>
  <c r="K7" i="14"/>
  <c r="K5" i="14"/>
  <c r="K6" i="14"/>
  <c r="K4" i="14"/>
  <c r="E6" i="14"/>
  <c r="E5" i="14"/>
  <c r="E4" i="14"/>
  <c r="E7" i="14"/>
  <c r="B5" i="14"/>
  <c r="B6" i="14"/>
  <c r="B4" i="14"/>
  <c r="B7" i="14"/>
  <c r="G4" i="14"/>
  <c r="G6" i="14"/>
  <c r="G7" i="14"/>
  <c r="G5" i="14"/>
  <c r="K8" i="5"/>
  <c r="I8" i="5"/>
  <c r="J8" i="5"/>
  <c r="N2" i="1"/>
  <c r="D29" i="12"/>
  <c r="B5" i="3"/>
  <c r="B44" i="12" s="1"/>
  <c r="K5" i="3"/>
  <c r="B33" i="12" s="1"/>
  <c r="B32" i="12"/>
  <c r="H2" i="14"/>
  <c r="J2" i="14"/>
  <c r="K2" i="14"/>
  <c r="B2" i="14"/>
  <c r="D2" i="14"/>
  <c r="E2" i="14"/>
  <c r="F2" i="14"/>
  <c r="G2" i="14"/>
  <c r="I2" i="14"/>
  <c r="B18" i="12"/>
  <c r="B19" i="12" s="1"/>
  <c r="C70" i="12"/>
  <c r="E14" i="1"/>
  <c r="E5" i="2" s="1"/>
  <c r="K67" i="12"/>
  <c r="J14" i="1"/>
  <c r="J66" i="12" s="1"/>
  <c r="B67" i="12"/>
  <c r="J67" i="12"/>
  <c r="I67" i="12"/>
  <c r="C67" i="12"/>
  <c r="D67" i="12"/>
  <c r="E67" i="12"/>
  <c r="F67" i="12"/>
  <c r="G67" i="12"/>
  <c r="H67" i="12"/>
  <c r="B47" i="12"/>
  <c r="I6" i="2"/>
  <c r="J6" i="2"/>
  <c r="K6" i="2"/>
  <c r="B25" i="12"/>
  <c r="B24" i="12"/>
  <c r="B22" i="12"/>
  <c r="B27" i="12" s="1"/>
  <c r="I10" i="1"/>
  <c r="H10" i="1"/>
  <c r="I14" i="1"/>
  <c r="I66" i="12" s="1"/>
  <c r="D10" i="1"/>
  <c r="K14" i="1"/>
  <c r="K66" i="12" s="1"/>
  <c r="G68" i="12"/>
  <c r="J11" i="3"/>
  <c r="L40" i="12"/>
  <c r="J5" i="12"/>
  <c r="K5" i="12"/>
  <c r="L41" i="12"/>
  <c r="L42" i="12"/>
  <c r="I5" i="12"/>
  <c r="L43" i="12"/>
  <c r="F10" i="1"/>
  <c r="E10" i="1"/>
  <c r="J10" i="1"/>
  <c r="I5" i="1"/>
  <c r="G14" i="1"/>
  <c r="G66" i="12" s="1"/>
  <c r="G10" i="1"/>
  <c r="K10" i="1"/>
  <c r="F14" i="1"/>
  <c r="J5" i="1"/>
  <c r="H14" i="1"/>
  <c r="H66" i="12" s="1"/>
  <c r="D14" i="1"/>
  <c r="D66" i="12" s="1"/>
  <c r="K5" i="1"/>
  <c r="B38" i="12"/>
  <c r="C11" i="3" l="1"/>
  <c r="E11" i="3"/>
  <c r="D11" i="3"/>
  <c r="S11" i="1"/>
  <c r="S14" i="1"/>
  <c r="L26" i="1" s="1"/>
  <c r="H11" i="3"/>
  <c r="G11" i="3"/>
  <c r="J4" i="5"/>
  <c r="J6" i="5" s="1"/>
  <c r="J17" i="5" s="1"/>
  <c r="H4" i="5"/>
  <c r="H6" i="5" s="1"/>
  <c r="D12" i="2"/>
  <c r="D68" i="12" s="1"/>
  <c r="I12" i="2"/>
  <c r="I68" i="12" s="1"/>
  <c r="F11" i="3"/>
  <c r="D23" i="2"/>
  <c r="J7" i="1"/>
  <c r="K7" i="1"/>
  <c r="I7" i="12"/>
  <c r="I10" i="12" s="1"/>
  <c r="J4" i="2"/>
  <c r="J22" i="2" s="1"/>
  <c r="J65" i="12" s="1"/>
  <c r="J7" i="12"/>
  <c r="J10" i="12" s="1"/>
  <c r="K7" i="12"/>
  <c r="K10" i="12" s="1"/>
  <c r="H12" i="2"/>
  <c r="H68" i="12" s="1"/>
  <c r="I4" i="5"/>
  <c r="I6" i="5" s="1"/>
  <c r="J12" i="2"/>
  <c r="J68" i="12" s="1"/>
  <c r="I23" i="2"/>
  <c r="I11" i="3"/>
  <c r="K12" i="2"/>
  <c r="K68" i="12" s="1"/>
  <c r="E12" i="2"/>
  <c r="E68" i="12" s="1"/>
  <c r="C12" i="2"/>
  <c r="C68" i="12" s="1"/>
  <c r="K44" i="12"/>
  <c r="F12" i="2"/>
  <c r="F68" i="12" s="1"/>
  <c r="B31" i="12"/>
  <c r="I7" i="5"/>
  <c r="J7" i="5"/>
  <c r="B21" i="12"/>
  <c r="B26" i="12" s="1"/>
  <c r="K11" i="3"/>
  <c r="K4" i="5"/>
  <c r="K6" i="5" s="1"/>
  <c r="O2" i="1"/>
  <c r="E29" i="12"/>
  <c r="B20" i="12"/>
  <c r="K7" i="5"/>
  <c r="G72" i="12"/>
  <c r="E72" i="12"/>
  <c r="H48" i="12"/>
  <c r="I71" i="12"/>
  <c r="F72" i="12"/>
  <c r="H72" i="12"/>
  <c r="I55" i="12"/>
  <c r="I72" i="12"/>
  <c r="K55" i="12"/>
  <c r="K72" i="12"/>
  <c r="I48" i="12"/>
  <c r="J71" i="12"/>
  <c r="D72" i="12"/>
  <c r="J48" i="12"/>
  <c r="K71" i="12"/>
  <c r="J55" i="12"/>
  <c r="J72" i="12"/>
  <c r="E66" i="12"/>
  <c r="E15" i="1"/>
  <c r="E18" i="1" s="1"/>
  <c r="E20" i="1" s="1"/>
  <c r="J15" i="1"/>
  <c r="J18" i="1" s="1"/>
  <c r="J20" i="1" s="1"/>
  <c r="J5" i="2"/>
  <c r="I15" i="1"/>
  <c r="I18" i="1" s="1"/>
  <c r="I20" i="1" s="1"/>
  <c r="C5" i="2"/>
  <c r="C66" i="12"/>
  <c r="F5" i="2"/>
  <c r="F66" i="12"/>
  <c r="K64" i="12"/>
  <c r="I64" i="12"/>
  <c r="J64" i="12"/>
  <c r="I5" i="2"/>
  <c r="C47" i="12"/>
  <c r="C3" i="3"/>
  <c r="F15" i="1"/>
  <c r="F18" i="1" s="1"/>
  <c r="F20" i="1" s="1"/>
  <c r="G15" i="1"/>
  <c r="G5" i="2"/>
  <c r="K15" i="1"/>
  <c r="K5" i="2"/>
  <c r="D15" i="1"/>
  <c r="D18" i="1" s="1"/>
  <c r="D20" i="1" s="1"/>
  <c r="D22" i="1" s="1"/>
  <c r="D5" i="2"/>
  <c r="H15" i="1"/>
  <c r="H5" i="2"/>
  <c r="J3" i="2"/>
  <c r="J5" i="5"/>
  <c r="J82" i="12" s="1"/>
  <c r="J6" i="1"/>
  <c r="J54" i="12" s="1"/>
  <c r="K3" i="2"/>
  <c r="I3" i="2"/>
  <c r="I6" i="1"/>
  <c r="I54" i="12" s="1"/>
  <c r="K6" i="1"/>
  <c r="K54" i="12" s="1"/>
  <c r="I4" i="2" l="1"/>
  <c r="I22" i="2" s="1"/>
  <c r="I65" i="12" s="1"/>
  <c r="Q23" i="2"/>
  <c r="L23" i="2" s="1"/>
  <c r="L4" i="1"/>
  <c r="M4" i="1" s="1"/>
  <c r="N4" i="1" s="1"/>
  <c r="K4" i="2"/>
  <c r="K22" i="2" s="1"/>
  <c r="K65" i="12" s="1"/>
  <c r="J16" i="5"/>
  <c r="E22" i="1"/>
  <c r="F22" i="1"/>
  <c r="J22" i="1"/>
  <c r="I16" i="5"/>
  <c r="I17" i="5"/>
  <c r="I5" i="5"/>
  <c r="I82" i="12" s="1"/>
  <c r="K16" i="5"/>
  <c r="K17" i="5"/>
  <c r="B30" i="12"/>
  <c r="B34" i="12" s="1"/>
  <c r="F21" i="1"/>
  <c r="I21" i="1"/>
  <c r="E23" i="1"/>
  <c r="J9" i="5"/>
  <c r="J13" i="5" s="1"/>
  <c r="D21" i="1"/>
  <c r="K5" i="5"/>
  <c r="K82" i="12" s="1"/>
  <c r="P2" i="1"/>
  <c r="G29" i="12" s="1"/>
  <c r="F29" i="12"/>
  <c r="E21" i="1"/>
  <c r="E17" i="1"/>
  <c r="E3" i="3" s="1"/>
  <c r="J14" i="3"/>
  <c r="I9" i="5"/>
  <c r="I13" i="5" s="1"/>
  <c r="J23" i="1"/>
  <c r="J21" i="1"/>
  <c r="J14" i="2"/>
  <c r="J16" i="3" s="1"/>
  <c r="J17" i="1"/>
  <c r="J3" i="3" s="1"/>
  <c r="I23" i="1"/>
  <c r="I14" i="3"/>
  <c r="I17" i="1"/>
  <c r="D47" i="12"/>
  <c r="D23" i="1"/>
  <c r="D24" i="1" s="1"/>
  <c r="F23" i="1"/>
  <c r="F17" i="1"/>
  <c r="F3" i="3" s="1"/>
  <c r="I12" i="12"/>
  <c r="I39" i="12"/>
  <c r="K12" i="12"/>
  <c r="K39" i="12"/>
  <c r="J12" i="12"/>
  <c r="J39" i="12"/>
  <c r="G17" i="1"/>
  <c r="G3" i="3" s="1"/>
  <c r="G18" i="1"/>
  <c r="G20" i="1" s="1"/>
  <c r="G22" i="1" s="1"/>
  <c r="H17" i="1"/>
  <c r="H3" i="3" s="1"/>
  <c r="H18" i="1"/>
  <c r="H20" i="1" s="1"/>
  <c r="K18" i="1"/>
  <c r="K17" i="1"/>
  <c r="K3" i="3" s="1"/>
  <c r="D17" i="1"/>
  <c r="D3" i="3" s="1"/>
  <c r="C38" i="12"/>
  <c r="I14" i="2" l="1"/>
  <c r="I16" i="3" s="1"/>
  <c r="I3" i="3"/>
  <c r="J24" i="1"/>
  <c r="I49" i="12" s="1"/>
  <c r="K14" i="2"/>
  <c r="K60" i="12" s="1"/>
  <c r="E24" i="1"/>
  <c r="H22" i="1"/>
  <c r="F24" i="1"/>
  <c r="I22" i="1"/>
  <c r="J16" i="2"/>
  <c r="I50" i="12" s="1"/>
  <c r="J28" i="2"/>
  <c r="J32" i="2"/>
  <c r="J31" i="2"/>
  <c r="J29" i="2"/>
  <c r="J30" i="2"/>
  <c r="J60" i="12"/>
  <c r="J80" i="12"/>
  <c r="J10" i="5"/>
  <c r="J14" i="5" s="1"/>
  <c r="J25" i="2"/>
  <c r="J24" i="2"/>
  <c r="I25" i="2"/>
  <c r="I10" i="5"/>
  <c r="I14" i="5" s="1"/>
  <c r="J17" i="2"/>
  <c r="J15" i="2"/>
  <c r="J56" i="12" s="1"/>
  <c r="E47" i="12"/>
  <c r="K20" i="1"/>
  <c r="H23" i="1"/>
  <c r="H21" i="1"/>
  <c r="G21" i="1"/>
  <c r="G23" i="1"/>
  <c r="G24" i="1" s="1"/>
  <c r="D38" i="12"/>
  <c r="F15" i="12"/>
  <c r="E15" i="12"/>
  <c r="D15" i="12"/>
  <c r="C15" i="12"/>
  <c r="B13" i="2"/>
  <c r="I80" i="12" l="1"/>
  <c r="I60" i="12"/>
  <c r="I24" i="2"/>
  <c r="I30" i="2"/>
  <c r="I17" i="2"/>
  <c r="J18" i="2" s="1"/>
  <c r="K10" i="5"/>
  <c r="K14" i="5" s="1"/>
  <c r="I15" i="2"/>
  <c r="I56" i="12" s="1"/>
  <c r="I29" i="2"/>
  <c r="I32" i="2"/>
  <c r="I28" i="2"/>
  <c r="I31" i="2"/>
  <c r="K80" i="12"/>
  <c r="K25" i="2"/>
  <c r="K15" i="2"/>
  <c r="K56" i="12" s="1"/>
  <c r="K24" i="2"/>
  <c r="K16" i="2"/>
  <c r="J50" i="12" s="1"/>
  <c r="K17" i="2"/>
  <c r="K18" i="2" s="1"/>
  <c r="K32" i="2"/>
  <c r="K16" i="3"/>
  <c r="K30" i="2"/>
  <c r="K28" i="2"/>
  <c r="K31" i="2"/>
  <c r="K29" i="2"/>
  <c r="K22" i="1"/>
  <c r="H24" i="1"/>
  <c r="I24" i="1"/>
  <c r="H49" i="12" s="1"/>
  <c r="K9" i="5"/>
  <c r="K13" i="5" s="1"/>
  <c r="J33" i="2"/>
  <c r="K23" i="1"/>
  <c r="K21" i="1"/>
  <c r="K14" i="3"/>
  <c r="F47" i="12"/>
  <c r="E38" i="12"/>
  <c r="B14" i="1"/>
  <c r="B66" i="12" s="1"/>
  <c r="B53" i="12"/>
  <c r="B63" i="12"/>
  <c r="B59" i="12"/>
  <c r="B27" i="2"/>
  <c r="H5" i="1"/>
  <c r="E4" i="5"/>
  <c r="E6" i="5" s="1"/>
  <c r="F4" i="5"/>
  <c r="F6" i="5" s="1"/>
  <c r="E5" i="1"/>
  <c r="B5" i="1"/>
  <c r="D5" i="1"/>
  <c r="D7" i="1" s="1"/>
  <c r="F5" i="1"/>
  <c r="G5" i="1"/>
  <c r="C4" i="5"/>
  <c r="C6" i="5" s="1"/>
  <c r="D4" i="5"/>
  <c r="D6" i="5" s="1"/>
  <c r="G4" i="5"/>
  <c r="G6" i="5" s="1"/>
  <c r="B2" i="5"/>
  <c r="B9" i="12"/>
  <c r="F5" i="12"/>
  <c r="F7" i="12" s="1"/>
  <c r="C5" i="12"/>
  <c r="C7" i="12" s="1"/>
  <c r="D5" i="12"/>
  <c r="D7" i="12" s="1"/>
  <c r="E5" i="12"/>
  <c r="E7" i="12" s="1"/>
  <c r="G5" i="12"/>
  <c r="G7" i="12" s="1"/>
  <c r="H5" i="12"/>
  <c r="H7" i="12" s="1"/>
  <c r="B5" i="12"/>
  <c r="B7" i="12" s="1"/>
  <c r="B1" i="12"/>
  <c r="K27" i="5"/>
  <c r="H27" i="5"/>
  <c r="I33" i="2" l="1"/>
  <c r="K33" i="2"/>
  <c r="S4" i="1" a="1"/>
  <c r="S4" i="1" s="1"/>
  <c r="C7" i="1"/>
  <c r="G7" i="1"/>
  <c r="E7" i="1"/>
  <c r="H7" i="1"/>
  <c r="I7" i="1"/>
  <c r="F7" i="1"/>
  <c r="K24" i="1"/>
  <c r="J49" i="12" s="1"/>
  <c r="B12" i="5"/>
  <c r="B64" i="12"/>
  <c r="E64" i="12"/>
  <c r="C64" i="12"/>
  <c r="H64" i="12"/>
  <c r="G64" i="12"/>
  <c r="F64" i="12"/>
  <c r="D64" i="12"/>
  <c r="G47" i="12"/>
  <c r="C3" i="2"/>
  <c r="G3" i="2"/>
  <c r="F3" i="2"/>
  <c r="D3" i="2"/>
  <c r="E3" i="2"/>
  <c r="H3" i="2"/>
  <c r="H5" i="5"/>
  <c r="H82" i="12" s="1"/>
  <c r="F38" i="12"/>
  <c r="B23" i="12"/>
  <c r="B4" i="5"/>
  <c r="B6" i="5" s="1"/>
  <c r="B15" i="1"/>
  <c r="B18" i="1" s="1"/>
  <c r="B20" i="1" s="1"/>
  <c r="F4" i="2"/>
  <c r="E4" i="2"/>
  <c r="B4" i="2"/>
  <c r="H4" i="2"/>
  <c r="G4" i="2"/>
  <c r="D4" i="2"/>
  <c r="C4" i="2"/>
  <c r="F14" i="3"/>
  <c r="E14" i="3"/>
  <c r="C14" i="3"/>
  <c r="H14" i="3"/>
  <c r="D14" i="3"/>
  <c r="G14" i="3"/>
  <c r="B11" i="3"/>
  <c r="B13" i="3"/>
  <c r="C22" i="1" l="1"/>
  <c r="S6" i="1" a="1"/>
  <c r="S6" i="1" s="1"/>
  <c r="B14" i="3"/>
  <c r="Q14" i="3" s="1"/>
  <c r="C14" i="2"/>
  <c r="F14" i="2"/>
  <c r="E14" i="2"/>
  <c r="I9" i="12"/>
  <c r="I59" i="12"/>
  <c r="I53" i="12"/>
  <c r="H47" i="12"/>
  <c r="I63" i="12"/>
  <c r="I13" i="3"/>
  <c r="I2" i="3"/>
  <c r="I27" i="2"/>
  <c r="I2" i="5"/>
  <c r="I12" i="5" s="1"/>
  <c r="I1" i="12"/>
  <c r="I38" i="12"/>
  <c r="I2" i="2"/>
  <c r="I21" i="2"/>
  <c r="D14" i="2"/>
  <c r="G14" i="2"/>
  <c r="H14" i="2"/>
  <c r="G38" i="12"/>
  <c r="C22" i="2"/>
  <c r="C65" i="12" s="1"/>
  <c r="D22" i="2"/>
  <c r="D65" i="12" s="1"/>
  <c r="G22" i="2"/>
  <c r="G65" i="12" s="1"/>
  <c r="H22" i="2"/>
  <c r="H65" i="12" s="1"/>
  <c r="B22" i="2"/>
  <c r="E22" i="2"/>
  <c r="E65" i="12" s="1"/>
  <c r="F22" i="2"/>
  <c r="F65" i="12" s="1"/>
  <c r="G10" i="12"/>
  <c r="E10" i="12"/>
  <c r="D10" i="12"/>
  <c r="H10" i="12"/>
  <c r="B10" i="12"/>
  <c r="C10" i="12"/>
  <c r="F10" i="12"/>
  <c r="G16" i="2" l="1"/>
  <c r="D16" i="2"/>
  <c r="Q22" i="2"/>
  <c r="E16" i="2"/>
  <c r="H16" i="2"/>
  <c r="I16" i="2"/>
  <c r="H50" i="12" s="1"/>
  <c r="F16" i="2"/>
  <c r="H29" i="2"/>
  <c r="H31" i="2"/>
  <c r="H32" i="2"/>
  <c r="H30" i="2"/>
  <c r="D29" i="2"/>
  <c r="D30" i="2"/>
  <c r="D31" i="2"/>
  <c r="D32" i="2"/>
  <c r="E29" i="2"/>
  <c r="E30" i="2"/>
  <c r="E31" i="2"/>
  <c r="E32" i="2"/>
  <c r="G30" i="2"/>
  <c r="G29" i="2"/>
  <c r="G31" i="2"/>
  <c r="G32" i="2"/>
  <c r="F30" i="2"/>
  <c r="F29" i="2"/>
  <c r="F31" i="2"/>
  <c r="F32" i="2"/>
  <c r="C30" i="2"/>
  <c r="C32" i="2"/>
  <c r="C29" i="2"/>
  <c r="C31" i="2"/>
  <c r="H80" i="12"/>
  <c r="D80" i="12"/>
  <c r="E80" i="12"/>
  <c r="F80" i="12"/>
  <c r="C80" i="12"/>
  <c r="G80" i="12"/>
  <c r="C17" i="2"/>
  <c r="C15" i="2"/>
  <c r="F15" i="2"/>
  <c r="E15" i="2"/>
  <c r="F17" i="2"/>
  <c r="E17" i="2"/>
  <c r="B65" i="12"/>
  <c r="J59" i="12"/>
  <c r="I47" i="12"/>
  <c r="J53" i="12"/>
  <c r="J63" i="12"/>
  <c r="J9" i="12"/>
  <c r="J13" i="3"/>
  <c r="J27" i="2"/>
  <c r="J38" i="12"/>
  <c r="J2" i="2"/>
  <c r="J2" i="3"/>
  <c r="J21" i="2"/>
  <c r="J2" i="5"/>
  <c r="J12" i="5" s="1"/>
  <c r="J1" i="12"/>
  <c r="H12" i="12"/>
  <c r="H16" i="3" s="1"/>
  <c r="H39" i="12"/>
  <c r="H28" i="2" s="1"/>
  <c r="D12" i="12"/>
  <c r="D16" i="3" s="1"/>
  <c r="D39" i="12"/>
  <c r="D28" i="2" s="1"/>
  <c r="E12" i="12"/>
  <c r="E16" i="3" s="1"/>
  <c r="E39" i="12"/>
  <c r="E28" i="2" s="1"/>
  <c r="B12" i="12"/>
  <c r="B39" i="12"/>
  <c r="G12" i="12"/>
  <c r="G16" i="3" s="1"/>
  <c r="G39" i="12"/>
  <c r="G28" i="2" s="1"/>
  <c r="F12" i="12"/>
  <c r="F16" i="3" s="1"/>
  <c r="F39" i="12"/>
  <c r="F28" i="2" s="1"/>
  <c r="C12" i="12"/>
  <c r="C16" i="3" s="1"/>
  <c r="C39" i="12"/>
  <c r="C28" i="2" s="1"/>
  <c r="D17" i="2"/>
  <c r="D15" i="2"/>
  <c r="G15" i="2"/>
  <c r="G17" i="2"/>
  <c r="H17" i="2"/>
  <c r="H15" i="2"/>
  <c r="H38" i="12"/>
  <c r="B2" i="3"/>
  <c r="B21" i="2"/>
  <c r="B2" i="2"/>
  <c r="B5" i="5"/>
  <c r="B5" i="2"/>
  <c r="B6" i="2"/>
  <c r="C5" i="5"/>
  <c r="C82" i="12" s="1"/>
  <c r="D5" i="5"/>
  <c r="D82" i="12" s="1"/>
  <c r="E5" i="5"/>
  <c r="E82" i="12" s="1"/>
  <c r="F5" i="5"/>
  <c r="F82" i="12" s="1"/>
  <c r="G5" i="5"/>
  <c r="G82" i="12" s="1"/>
  <c r="H8" i="5"/>
  <c r="H17" i="5" s="1"/>
  <c r="C71" i="12"/>
  <c r="B17" i="1"/>
  <c r="G55" i="12"/>
  <c r="F55" i="12"/>
  <c r="E55" i="12"/>
  <c r="D55" i="12"/>
  <c r="H55" i="12"/>
  <c r="C55" i="12"/>
  <c r="B10" i="1"/>
  <c r="G8" i="5"/>
  <c r="G17" i="5" s="1"/>
  <c r="F8" i="5"/>
  <c r="F17" i="5" s="1"/>
  <c r="E8" i="5"/>
  <c r="E17" i="5" s="1"/>
  <c r="D8" i="5"/>
  <c r="D17" i="5" s="1"/>
  <c r="C8" i="5"/>
  <c r="C17" i="5" s="1"/>
  <c r="B8" i="5"/>
  <c r="B17" i="5" s="1"/>
  <c r="S13" i="1" l="1"/>
  <c r="L17" i="1" s="1"/>
  <c r="M17" i="1" s="1"/>
  <c r="N17" i="1" s="1"/>
  <c r="O17" i="1" s="1"/>
  <c r="P17" i="1" s="1"/>
  <c r="S12" i="1"/>
  <c r="L10" i="1" s="1"/>
  <c r="C72" i="12"/>
  <c r="L72" i="12" s="1"/>
  <c r="B13" i="14" s="1"/>
  <c r="Q17" i="5"/>
  <c r="D18" i="2"/>
  <c r="H18" i="2"/>
  <c r="I18" i="2"/>
  <c r="F18" i="2"/>
  <c r="E18" i="2"/>
  <c r="G18" i="2"/>
  <c r="B3" i="3"/>
  <c r="B82" i="12"/>
  <c r="L82" i="12" s="1"/>
  <c r="B16" i="14" s="1"/>
  <c r="E48" i="12"/>
  <c r="F71" i="12"/>
  <c r="D48" i="12"/>
  <c r="E71" i="12"/>
  <c r="C48" i="12"/>
  <c r="D71" i="12"/>
  <c r="G48" i="12"/>
  <c r="H71" i="12"/>
  <c r="F48" i="12"/>
  <c r="G71" i="12"/>
  <c r="J47" i="12"/>
  <c r="K53" i="12"/>
  <c r="K63" i="12"/>
  <c r="K59" i="12"/>
  <c r="K21" i="2"/>
  <c r="B17" i="12"/>
  <c r="K2" i="2"/>
  <c r="K2" i="5"/>
  <c r="K13" i="3"/>
  <c r="K38" i="12"/>
  <c r="K1" i="12"/>
  <c r="K9" i="12"/>
  <c r="K27" i="2"/>
  <c r="K2" i="3"/>
  <c r="L39" i="12"/>
  <c r="B55" i="12"/>
  <c r="M26" i="1"/>
  <c r="N26" i="1" s="1"/>
  <c r="O26" i="1" s="1"/>
  <c r="P26" i="1" s="1"/>
  <c r="B48" i="12"/>
  <c r="C53" i="12"/>
  <c r="C63" i="12"/>
  <c r="C59" i="12"/>
  <c r="C27" i="2"/>
  <c r="C2" i="5"/>
  <c r="C9" i="12"/>
  <c r="C1" i="12"/>
  <c r="B3" i="2"/>
  <c r="B14" i="2" s="1"/>
  <c r="C13" i="3"/>
  <c r="F6" i="1"/>
  <c r="F54" i="12" s="1"/>
  <c r="B6" i="1"/>
  <c r="B54" i="12" s="1"/>
  <c r="B7" i="5"/>
  <c r="B16" i="5" s="1"/>
  <c r="E6" i="1"/>
  <c r="E54" i="12" s="1"/>
  <c r="C7" i="5"/>
  <c r="C16" i="5" s="1"/>
  <c r="C54" i="12"/>
  <c r="G7" i="5"/>
  <c r="G16" i="5" s="1"/>
  <c r="E7" i="5"/>
  <c r="E16" i="5" s="1"/>
  <c r="D6" i="1"/>
  <c r="D54" i="12" s="1"/>
  <c r="H7" i="5"/>
  <c r="H16" i="5" s="1"/>
  <c r="D7" i="5"/>
  <c r="D16" i="5" s="1"/>
  <c r="H6" i="1"/>
  <c r="H54" i="12" s="1"/>
  <c r="F7" i="5"/>
  <c r="F16" i="5" s="1"/>
  <c r="G6" i="1"/>
  <c r="G54" i="12" s="1"/>
  <c r="C21" i="2"/>
  <c r="C2" i="2"/>
  <c r="C2" i="3"/>
  <c r="C12" i="5" l="1"/>
  <c r="C16" i="2"/>
  <c r="B16" i="3"/>
  <c r="Q16" i="3" s="1"/>
  <c r="Q16" i="5"/>
  <c r="M10" i="1"/>
  <c r="N10" i="1" s="1"/>
  <c r="O10" i="1" s="1"/>
  <c r="P10" i="1" s="1"/>
  <c r="O4" i="1"/>
  <c r="P4" i="1" s="1"/>
  <c r="K12" i="5"/>
  <c r="L25" i="1"/>
  <c r="M25" i="1" s="1"/>
  <c r="N25" i="1" s="1"/>
  <c r="L9" i="3"/>
  <c r="L8" i="3"/>
  <c r="B28" i="2"/>
  <c r="L28" i="2" s="1"/>
  <c r="B30" i="2"/>
  <c r="L30" i="2" s="1"/>
  <c r="B31" i="2"/>
  <c r="L31" i="2" s="1"/>
  <c r="B32" i="2"/>
  <c r="L32" i="2" s="1"/>
  <c r="B29" i="2"/>
  <c r="L29" i="2" s="1"/>
  <c r="B80" i="12"/>
  <c r="L80" i="12" s="1"/>
  <c r="B14" i="14" s="1"/>
  <c r="L71" i="12"/>
  <c r="B12" i="14" s="1"/>
  <c r="I15" i="3"/>
  <c r="J15" i="3"/>
  <c r="K15" i="3"/>
  <c r="D53" i="12"/>
  <c r="D63" i="12"/>
  <c r="D59" i="12"/>
  <c r="D27" i="2"/>
  <c r="B60" i="12"/>
  <c r="D2" i="5"/>
  <c r="D12" i="5" s="1"/>
  <c r="D9" i="12"/>
  <c r="D1" i="12"/>
  <c r="E9" i="5"/>
  <c r="E13" i="5" s="1"/>
  <c r="H9" i="5"/>
  <c r="H13" i="5" s="1"/>
  <c r="D13" i="3"/>
  <c r="D21" i="2"/>
  <c r="D2" i="2"/>
  <c r="D2" i="3"/>
  <c r="F9" i="5"/>
  <c r="F13" i="5" s="1"/>
  <c r="C9" i="5"/>
  <c r="C13" i="5" s="1"/>
  <c r="O25" i="1" l="1"/>
  <c r="P25" i="1" s="1"/>
  <c r="L3" i="5"/>
  <c r="M3" i="5"/>
  <c r="M8" i="3"/>
  <c r="N8" i="3" s="1"/>
  <c r="O8" i="3" s="1"/>
  <c r="P8" i="3" s="1"/>
  <c r="M9" i="3"/>
  <c r="N9" i="3" s="1"/>
  <c r="O9" i="3" s="1"/>
  <c r="P9" i="3" s="1"/>
  <c r="L3" i="1"/>
  <c r="L8" i="1"/>
  <c r="K61" i="12"/>
  <c r="K81" i="12"/>
  <c r="J61" i="12"/>
  <c r="J81" i="12"/>
  <c r="I61" i="12"/>
  <c r="I81" i="12"/>
  <c r="B33" i="2"/>
  <c r="E59" i="12"/>
  <c r="E53" i="12"/>
  <c r="E63" i="12"/>
  <c r="E27" i="2"/>
  <c r="E2" i="5"/>
  <c r="E12" i="5" s="1"/>
  <c r="E9" i="12"/>
  <c r="E1" i="12"/>
  <c r="B17" i="2"/>
  <c r="C18" i="2" s="1"/>
  <c r="B24" i="2"/>
  <c r="B25" i="2"/>
  <c r="B10" i="5"/>
  <c r="B14" i="5" s="1"/>
  <c r="B15" i="2"/>
  <c r="B56" i="12" s="1"/>
  <c r="B9" i="5"/>
  <c r="B13" i="5" s="1"/>
  <c r="G9" i="5"/>
  <c r="G13" i="5" s="1"/>
  <c r="B23" i="1"/>
  <c r="S7" i="1" s="1" a="1"/>
  <c r="S7" i="1" s="1"/>
  <c r="B21" i="1"/>
  <c r="G49" i="12"/>
  <c r="D9" i="5"/>
  <c r="D13" i="5" s="1"/>
  <c r="C49" i="12"/>
  <c r="E13" i="3"/>
  <c r="E21" i="2"/>
  <c r="E2" i="2"/>
  <c r="E2" i="3"/>
  <c r="C24" i="1" l="1"/>
  <c r="Q13" i="5"/>
  <c r="L9" i="1"/>
  <c r="L5" i="1" s="1"/>
  <c r="L22" i="2"/>
  <c r="L4" i="2" s="1"/>
  <c r="M3" i="1"/>
  <c r="B49" i="12"/>
  <c r="F59" i="12"/>
  <c r="F63" i="12"/>
  <c r="F53" i="12"/>
  <c r="F27" i="2"/>
  <c r="F2" i="5"/>
  <c r="F12" i="5" s="1"/>
  <c r="F9" i="12"/>
  <c r="F21" i="2"/>
  <c r="F1" i="12"/>
  <c r="F49" i="12"/>
  <c r="D49" i="12"/>
  <c r="E49" i="12"/>
  <c r="F13" i="3"/>
  <c r="F2" i="2"/>
  <c r="F2" i="3"/>
  <c r="N3" i="5"/>
  <c r="M9" i="1" l="1"/>
  <c r="M3" i="3" s="1"/>
  <c r="L7" i="1"/>
  <c r="M22" i="2"/>
  <c r="N22" i="2"/>
  <c r="O22" i="2"/>
  <c r="P22" i="2"/>
  <c r="L11" i="1"/>
  <c r="L3" i="3"/>
  <c r="L8" i="5"/>
  <c r="N3" i="1"/>
  <c r="M8" i="1"/>
  <c r="G59" i="12"/>
  <c r="G53" i="12"/>
  <c r="G63" i="12"/>
  <c r="G27" i="2"/>
  <c r="L3" i="2"/>
  <c r="G2" i="5"/>
  <c r="G12" i="5" s="1"/>
  <c r="G9" i="12"/>
  <c r="G2" i="2"/>
  <c r="G1" i="12"/>
  <c r="L6" i="1"/>
  <c r="L7" i="5"/>
  <c r="G21" i="2"/>
  <c r="G13" i="3"/>
  <c r="G2" i="3"/>
  <c r="P3" i="5"/>
  <c r="O3" i="5"/>
  <c r="C15" i="3"/>
  <c r="H15" i="3"/>
  <c r="D15" i="3"/>
  <c r="B15" i="3"/>
  <c r="E15" i="3"/>
  <c r="G15" i="3"/>
  <c r="F15" i="3"/>
  <c r="B81" i="12" l="1"/>
  <c r="Q15" i="3"/>
  <c r="N9" i="1"/>
  <c r="M8" i="5"/>
  <c r="M11" i="1"/>
  <c r="O3" i="1"/>
  <c r="N8" i="1"/>
  <c r="O8" i="1" s="1"/>
  <c r="P8" i="1" s="1"/>
  <c r="M5" i="1"/>
  <c r="G61" i="12"/>
  <c r="G81" i="12"/>
  <c r="D61" i="12"/>
  <c r="D81" i="12"/>
  <c r="H61" i="12"/>
  <c r="H81" i="12"/>
  <c r="C61" i="12"/>
  <c r="C81" i="12"/>
  <c r="F61" i="12"/>
  <c r="F81" i="12"/>
  <c r="E61" i="12"/>
  <c r="E81" i="12"/>
  <c r="B61" i="12"/>
  <c r="H59" i="12"/>
  <c r="H63" i="12"/>
  <c r="H53" i="12"/>
  <c r="H27" i="2"/>
  <c r="H9" i="12"/>
  <c r="H1" i="12"/>
  <c r="H2" i="3"/>
  <c r="Q13" i="3" s="1" a="1"/>
  <c r="Q13" i="3" s="1"/>
  <c r="B14" i="12"/>
  <c r="H21" i="2"/>
  <c r="H2" i="2"/>
  <c r="H2" i="5"/>
  <c r="H13" i="3"/>
  <c r="L5" i="5" l="1"/>
  <c r="Q12" i="5" a="1"/>
  <c r="Q12" i="5" s="1"/>
  <c r="L27" i="2" a="1"/>
  <c r="L27" i="2" s="1"/>
  <c r="Q21" i="2" a="1"/>
  <c r="Q21" i="2" s="1"/>
  <c r="H12" i="5"/>
  <c r="O9" i="1"/>
  <c r="M7" i="5"/>
  <c r="M7" i="1"/>
  <c r="N11" i="1"/>
  <c r="N3" i="3"/>
  <c r="M6" i="1"/>
  <c r="M3" i="2"/>
  <c r="N8" i="5"/>
  <c r="N5" i="1"/>
  <c r="P3" i="1"/>
  <c r="L81" i="12"/>
  <c r="B15" i="14" s="1"/>
  <c r="L2" i="5"/>
  <c r="L13" i="3"/>
  <c r="L2" i="3"/>
  <c r="C14" i="12"/>
  <c r="L2" i="2"/>
  <c r="L21" i="2"/>
  <c r="M5" i="5" l="1"/>
  <c r="L4" i="5"/>
  <c r="B27" i="5"/>
  <c r="L12" i="5"/>
  <c r="P9" i="1"/>
  <c r="P3" i="3" s="1"/>
  <c r="N6" i="1"/>
  <c r="N7" i="1"/>
  <c r="O11" i="1"/>
  <c r="O3" i="3"/>
  <c r="N3" i="2"/>
  <c r="N7" i="5"/>
  <c r="O5" i="1"/>
  <c r="O8" i="5"/>
  <c r="D14" i="12"/>
  <c r="M2" i="2"/>
  <c r="M13" i="3"/>
  <c r="M2" i="5"/>
  <c r="M2" i="3"/>
  <c r="M21" i="2"/>
  <c r="C30" i="12" l="1"/>
  <c r="L19" i="2"/>
  <c r="N5" i="5"/>
  <c r="M4" i="5"/>
  <c r="C27" i="5"/>
  <c r="M12" i="5"/>
  <c r="P8" i="5"/>
  <c r="P5" i="1"/>
  <c r="P11" i="1"/>
  <c r="O3" i="2"/>
  <c r="O7" i="1"/>
  <c r="O7" i="5"/>
  <c r="O6" i="1"/>
  <c r="N13" i="3"/>
  <c r="N21" i="2"/>
  <c r="N2" i="5"/>
  <c r="E14" i="12"/>
  <c r="N2" i="3"/>
  <c r="N2" i="2"/>
  <c r="O5" i="5" l="1"/>
  <c r="N4" i="5"/>
  <c r="M19" i="2"/>
  <c r="D30" i="12"/>
  <c r="C31" i="12"/>
  <c r="C34" i="12" s="1"/>
  <c r="P7" i="1"/>
  <c r="D27" i="5"/>
  <c r="N12" i="5"/>
  <c r="P6" i="1"/>
  <c r="P3" i="2"/>
  <c r="P7" i="5"/>
  <c r="F14" i="12"/>
  <c r="O2" i="5"/>
  <c r="O2" i="3"/>
  <c r="O13" i="3"/>
  <c r="O21" i="2"/>
  <c r="O2" i="2"/>
  <c r="C35" i="12" l="1"/>
  <c r="L6" i="3" s="1"/>
  <c r="C36" i="12"/>
  <c r="L7" i="3" s="1"/>
  <c r="D34" i="12"/>
  <c r="D31" i="12"/>
  <c r="N19" i="2"/>
  <c r="E30" i="12"/>
  <c r="C32" i="12"/>
  <c r="C33" i="12"/>
  <c r="P5" i="5"/>
  <c r="P4" i="5" s="1"/>
  <c r="O4" i="5"/>
  <c r="E27" i="5"/>
  <c r="O12" i="5"/>
  <c r="P2" i="2"/>
  <c r="P13" i="3"/>
  <c r="P2" i="5"/>
  <c r="P21" i="2"/>
  <c r="P2" i="3"/>
  <c r="O19" i="2" l="1"/>
  <c r="F30" i="12"/>
  <c r="P19" i="2"/>
  <c r="G30" i="12"/>
  <c r="E31" i="12"/>
  <c r="E34" i="12"/>
  <c r="D36" i="12"/>
  <c r="D35" i="12"/>
  <c r="D33" i="12"/>
  <c r="L5" i="3"/>
  <c r="F27" i="5"/>
  <c r="P12" i="5"/>
  <c r="E33" i="12" l="1"/>
  <c r="M5" i="3"/>
  <c r="F34" i="12"/>
  <c r="E36" i="12"/>
  <c r="E35" i="12"/>
  <c r="F31" i="12"/>
  <c r="G31" i="12" s="1"/>
  <c r="E60" i="12"/>
  <c r="G60" i="12"/>
  <c r="H60" i="12"/>
  <c r="D60" i="12"/>
  <c r="F60" i="12"/>
  <c r="G56" i="12"/>
  <c r="G10" i="5"/>
  <c r="G14" i="5" s="1"/>
  <c r="G24" i="2"/>
  <c r="G33" i="2"/>
  <c r="G25" i="2"/>
  <c r="F33" i="2"/>
  <c r="C60" i="12"/>
  <c r="D33" i="2"/>
  <c r="E33" i="2"/>
  <c r="H33" i="2"/>
  <c r="C33" i="2"/>
  <c r="D24" i="2"/>
  <c r="D10" i="5"/>
  <c r="D14" i="5" s="1"/>
  <c r="D56" i="12"/>
  <c r="D25" i="2"/>
  <c r="F50" i="12"/>
  <c r="C24" i="2"/>
  <c r="E25" i="2"/>
  <c r="E24" i="2"/>
  <c r="E56" i="12"/>
  <c r="D50" i="12"/>
  <c r="E10" i="5"/>
  <c r="E14" i="5" s="1"/>
  <c r="H24" i="2"/>
  <c r="H56" i="12"/>
  <c r="H25" i="2"/>
  <c r="H10" i="5"/>
  <c r="H14" i="5" s="1"/>
  <c r="G50" i="12"/>
  <c r="C25" i="2"/>
  <c r="C10" i="5"/>
  <c r="C14" i="5" s="1"/>
  <c r="B50" i="12"/>
  <c r="C56" i="12"/>
  <c r="C50" i="12"/>
  <c r="F56" i="12"/>
  <c r="F25" i="2"/>
  <c r="E50" i="12"/>
  <c r="F24" i="2"/>
  <c r="F10" i="5"/>
  <c r="F14" i="5" s="1"/>
  <c r="F35" i="12" l="1"/>
  <c r="F36" i="12"/>
  <c r="G34" i="12"/>
  <c r="F33" i="12"/>
  <c r="N5" i="3"/>
  <c r="Q25" i="2"/>
  <c r="Q24" i="2"/>
  <c r="Q14" i="5"/>
  <c r="P23" i="2"/>
  <c r="P11" i="2" s="1"/>
  <c r="O23" i="2"/>
  <c r="O11" i="2" s="1"/>
  <c r="N23" i="2"/>
  <c r="N11" i="2" s="1"/>
  <c r="M23" i="2"/>
  <c r="M11" i="2" s="1"/>
  <c r="L11" i="2"/>
  <c r="L12" i="2" s="1"/>
  <c r="G33" i="12" l="1"/>
  <c r="P5" i="3" s="1"/>
  <c r="O5" i="3"/>
  <c r="G35" i="12"/>
  <c r="G36" i="12"/>
  <c r="N12" i="2"/>
  <c r="P12" i="2"/>
  <c r="O12" i="2"/>
  <c r="M12" i="2"/>
  <c r="K15" i="5"/>
  <c r="C15" i="5"/>
  <c r="J15" i="5"/>
  <c r="I15" i="5"/>
  <c r="E15" i="5"/>
  <c r="B15" i="5"/>
  <c r="H15" i="5"/>
  <c r="D15" i="5"/>
  <c r="G15" i="5"/>
  <c r="F15" i="5"/>
  <c r="L33" i="2"/>
  <c r="L13" i="1" l="1"/>
  <c r="M13" i="1" l="1"/>
  <c r="L12" i="1"/>
  <c r="L14" i="1" s="1"/>
  <c r="L6" i="5"/>
  <c r="N13" i="1"/>
  <c r="L17" i="5" l="1"/>
  <c r="B25" i="5" s="1"/>
  <c r="L16" i="5"/>
  <c r="B24" i="5" s="1"/>
  <c r="L5" i="2"/>
  <c r="L15" i="1"/>
  <c r="L16" i="1" s="1"/>
  <c r="M6" i="5"/>
  <c r="O13" i="1"/>
  <c r="M17" i="5" l="1"/>
  <c r="M16" i="5"/>
  <c r="F31" i="5"/>
  <c r="B30" i="5"/>
  <c r="C30" i="5"/>
  <c r="D30" i="5"/>
  <c r="E30" i="5"/>
  <c r="F30" i="5"/>
  <c r="L18" i="1"/>
  <c r="L19" i="1" s="1"/>
  <c r="L6" i="2"/>
  <c r="N6" i="5"/>
  <c r="P13" i="1"/>
  <c r="N17" i="5" l="1"/>
  <c r="N16" i="5"/>
  <c r="B31" i="5"/>
  <c r="C31" i="5"/>
  <c r="E31" i="5"/>
  <c r="D31" i="5"/>
  <c r="L20" i="1"/>
  <c r="L22" i="1" s="1"/>
  <c r="P6" i="5"/>
  <c r="O6" i="5"/>
  <c r="O17" i="5" l="1"/>
  <c r="O16" i="5"/>
  <c r="P17" i="5"/>
  <c r="P16" i="5"/>
  <c r="L21" i="1"/>
  <c r="L23" i="1"/>
  <c r="L9" i="5"/>
  <c r="L13" i="2"/>
  <c r="K31" i="5"/>
  <c r="K30" i="5"/>
  <c r="L24" i="1" l="1"/>
  <c r="L13" i="5"/>
  <c r="B22" i="5" s="1"/>
  <c r="B28" i="5" l="1"/>
  <c r="M4" i="2" l="1"/>
  <c r="N4" i="2" s="1"/>
  <c r="O4" i="2" l="1"/>
  <c r="P4" i="2" s="1"/>
  <c r="L4" i="3"/>
  <c r="D32" i="12"/>
  <c r="E32" i="12" s="1"/>
  <c r="N4" i="3" l="1"/>
  <c r="F32" i="12"/>
  <c r="M4" i="3"/>
  <c r="O4" i="3" l="1"/>
  <c r="G32" i="12"/>
  <c r="M6" i="3"/>
  <c r="M7" i="3" l="1"/>
  <c r="M12" i="1" s="1"/>
  <c r="M14" i="1" s="1"/>
  <c r="M15" i="1" s="1"/>
  <c r="N6" i="3"/>
  <c r="P4" i="3"/>
  <c r="N7" i="3"/>
  <c r="N12" i="1" l="1"/>
  <c r="N14" i="1" s="1"/>
  <c r="N5" i="2" s="1"/>
  <c r="M5" i="2"/>
  <c r="P7" i="3"/>
  <c r="O7" i="3"/>
  <c r="P6" i="3"/>
  <c r="O6" i="3"/>
  <c r="M16" i="1"/>
  <c r="M6" i="2" s="1"/>
  <c r="P12" i="1" l="1"/>
  <c r="P14" i="1" s="1"/>
  <c r="P15" i="1" s="1"/>
  <c r="O12" i="1"/>
  <c r="O14" i="1" s="1"/>
  <c r="O5" i="2" s="1"/>
  <c r="N15" i="1"/>
  <c r="N16" i="1" s="1"/>
  <c r="N6" i="2" s="1"/>
  <c r="M18" i="1"/>
  <c r="P5" i="2" l="1"/>
  <c r="O15" i="1"/>
  <c r="O16" i="1" s="1"/>
  <c r="O6" i="2" s="1"/>
  <c r="N18" i="1"/>
  <c r="M19" i="1"/>
  <c r="M20" i="1" s="1"/>
  <c r="P16" i="1"/>
  <c r="P6" i="2" s="1"/>
  <c r="O18" i="1" l="1"/>
  <c r="M22" i="1"/>
  <c r="M21" i="1"/>
  <c r="M23" i="1"/>
  <c r="M9" i="5"/>
  <c r="C28" i="5" s="1"/>
  <c r="P18" i="1"/>
  <c r="M13" i="2"/>
  <c r="M14" i="2" s="1"/>
  <c r="N19" i="1"/>
  <c r="M24" i="1" l="1"/>
  <c r="M13" i="5"/>
  <c r="O19" i="1"/>
  <c r="N13" i="2"/>
  <c r="N14" i="2" s="1"/>
  <c r="N20" i="1"/>
  <c r="M15" i="2"/>
  <c r="M24" i="2"/>
  <c r="M17" i="2"/>
  <c r="M25" i="2"/>
  <c r="M10" i="5"/>
  <c r="M14" i="5" s="1"/>
  <c r="O13" i="2" l="1"/>
  <c r="O14" i="2" s="1"/>
  <c r="P19" i="1"/>
  <c r="O20" i="1"/>
  <c r="N22" i="1"/>
  <c r="N9" i="5"/>
  <c r="D28" i="5" s="1"/>
  <c r="N21" i="1"/>
  <c r="N23" i="1"/>
  <c r="N17" i="2"/>
  <c r="N18" i="2" s="1"/>
  <c r="N24" i="2"/>
  <c r="N15" i="2"/>
  <c r="N10" i="5"/>
  <c r="N14" i="5" s="1"/>
  <c r="N16" i="2"/>
  <c r="N25" i="2"/>
  <c r="N24" i="1" l="1"/>
  <c r="N13" i="5"/>
  <c r="P13" i="2"/>
  <c r="P14" i="2" s="1"/>
  <c r="P20" i="1"/>
  <c r="O23" i="1"/>
  <c r="O22" i="1"/>
  <c r="O21" i="1"/>
  <c r="O9" i="5"/>
  <c r="E28" i="5" s="1"/>
  <c r="O24" i="2"/>
  <c r="O16" i="2"/>
  <c r="O10" i="5"/>
  <c r="O14" i="5" s="1"/>
  <c r="O15" i="2"/>
  <c r="O17" i="2"/>
  <c r="O18" i="2" s="1"/>
  <c r="O25" i="2"/>
  <c r="O24" i="1" l="1"/>
  <c r="O13" i="5"/>
  <c r="P22" i="1"/>
  <c r="P23" i="1"/>
  <c r="P9" i="5"/>
  <c r="F28" i="5" s="1"/>
  <c r="K28" i="5" s="1"/>
  <c r="P21" i="1"/>
  <c r="P10" i="5"/>
  <c r="P14" i="5" s="1"/>
  <c r="P16" i="2"/>
  <c r="P15" i="2"/>
  <c r="P17" i="2"/>
  <c r="P18" i="2" s="1"/>
  <c r="P24" i="2"/>
  <c r="P25" i="2"/>
  <c r="L14" i="2"/>
  <c r="L15" i="2" s="1"/>
  <c r="P24" i="1" l="1"/>
  <c r="P13" i="5"/>
  <c r="L10" i="3"/>
  <c r="L11" i="3" s="1"/>
  <c r="L15" i="3" s="1"/>
  <c r="L16" i="2"/>
  <c r="L17" i="2"/>
  <c r="L18" i="2" s="1"/>
  <c r="L25" i="2"/>
  <c r="L10" i="5"/>
  <c r="L14" i="5" s="1"/>
  <c r="M16" i="2"/>
  <c r="L24" i="2"/>
  <c r="M10" i="3" l="1"/>
  <c r="M11" i="3" s="1"/>
  <c r="M15" i="3" s="1"/>
  <c r="L14" i="3"/>
  <c r="M18" i="2"/>
  <c r="B23" i="5"/>
  <c r="B29" i="5" s="1"/>
  <c r="N10" i="3" l="1"/>
  <c r="N11" i="3" s="1"/>
  <c r="N15" i="3" s="1"/>
  <c r="M14" i="3"/>
  <c r="C29" i="5"/>
  <c r="D29" i="5"/>
  <c r="E29" i="5"/>
  <c r="F29" i="5"/>
  <c r="B32" i="5"/>
  <c r="B33" i="5"/>
  <c r="N14" i="3" l="1"/>
  <c r="O10" i="3"/>
  <c r="O14" i="3" s="1"/>
  <c r="E32" i="5"/>
  <c r="E33" i="5"/>
  <c r="K29" i="5"/>
  <c r="K32" i="5" s="1"/>
  <c r="C51" i="5"/>
  <c r="F51" i="5" s="1"/>
  <c r="F32" i="5"/>
  <c r="F33" i="5"/>
  <c r="D32" i="5"/>
  <c r="D33" i="5"/>
  <c r="C33" i="5"/>
  <c r="C32" i="5"/>
  <c r="O11" i="3" l="1"/>
  <c r="O15" i="3" s="1"/>
  <c r="P10" i="3"/>
  <c r="P14" i="3" s="1"/>
  <c r="P11" i="3" l="1"/>
  <c r="P15"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44486C3A-5C52-4790-B6F8-B07EBC9BB77D}">
      <text>
        <r>
          <rPr>
            <sz val="9"/>
            <color rgb="FF000000"/>
            <rFont val="Tahoma"/>
            <family val="2"/>
          </rPr>
          <t xml:space="preserve">Sales = Revenue = Net Revenue = Ventas =  Ventas Netas = Cifra de negocio
</t>
        </r>
      </text>
    </comment>
    <comment ref="L4" authorId="0" shapeId="0" xr:uid="{A7B6363F-B079-4AD3-A7FA-9AA5B95BEDD2}">
      <text>
        <r>
          <rPr>
            <b/>
            <sz val="9"/>
            <color indexed="81"/>
            <rFont val="Tahoma"/>
            <family val="2"/>
          </rPr>
          <t>Author:</t>
        </r>
        <r>
          <rPr>
            <sz val="9"/>
            <color indexed="81"/>
            <rFont val="Tahoma"/>
            <family val="2"/>
          </rPr>
          <t xml:space="preserve">
Mediana últimos 3 años
Si este dato no está disponible, usará el CAGR de las ventas o el promedio del crecimiento de ventas ventas</t>
        </r>
      </text>
    </comment>
    <comment ref="A5" authorId="0" shapeId="0" xr:uid="{32511833-DEFD-4AF9-8735-8994EFB261A9}">
      <text>
        <r>
          <rPr>
            <b/>
            <sz val="9"/>
            <color indexed="81"/>
            <rFont val="Tahoma"/>
            <family val="2"/>
          </rPr>
          <t xml:space="preserve">Earnings Before Interests, Taxes, Depreciation &amp; Amortization
</t>
        </r>
        <r>
          <rPr>
            <sz val="9"/>
            <color indexed="81"/>
            <rFont val="Tahoma"/>
            <family val="2"/>
          </rPr>
          <t xml:space="preserve">
Forma rápida de calcularlo: EBIT + D&amp;A* 
* La D&amp;A debemos obtenerla en los Cash Flows from Operations</t>
        </r>
      </text>
    </comment>
    <comment ref="A8" authorId="0" shapeId="0" xr:uid="{BF67636D-6A04-483B-BA83-9C2903EC1D50}">
      <text>
        <r>
          <rPr>
            <sz val="9"/>
            <color indexed="81"/>
            <rFont val="Tahoma"/>
            <family val="2"/>
          </rPr>
          <t>La obtenemos de los flujos de caja operativos (Cash flows from operations)
Se introduce en negativo, es un gasto contable</t>
        </r>
      </text>
    </comment>
    <comment ref="A9" authorId="0" shapeId="0" xr:uid="{407BD63A-7F0A-4863-86D3-81068853917D}">
      <text>
        <r>
          <rPr>
            <b/>
            <sz val="9"/>
            <color indexed="81"/>
            <rFont val="Tahoma"/>
            <family val="2"/>
          </rPr>
          <t xml:space="preserve">Earnings Before Interests and Taxes
</t>
        </r>
        <r>
          <rPr>
            <sz val="9"/>
            <color indexed="81"/>
            <rFont val="Tahoma"/>
            <family val="2"/>
          </rPr>
          <t xml:space="preserve">Puede aparecer como: Beneficio operativo, operating income, operating profit, income from operations...
</t>
        </r>
      </text>
    </comment>
    <comment ref="L10" authorId="0" shapeId="0" xr:uid="{7BA30979-A0D0-4EF5-ADBE-0DE5FAF0A40F}">
      <text>
        <r>
          <rPr>
            <b/>
            <sz val="9"/>
            <color indexed="81"/>
            <rFont val="Tahoma"/>
            <family val="2"/>
          </rPr>
          <t>Author:</t>
        </r>
        <r>
          <rPr>
            <sz val="9"/>
            <color indexed="81"/>
            <rFont val="Tahoma"/>
            <family val="2"/>
          </rPr>
          <t xml:space="preserve">
Mediana últimos 3 años</t>
        </r>
      </text>
    </comment>
    <comment ref="A12" authorId="0" shapeId="0" xr:uid="{B30C6BA4-F0E5-4409-8C2A-59B0CC9F0D49}">
      <text>
        <r>
          <rPr>
            <b/>
            <sz val="9"/>
            <color indexed="81"/>
            <rFont val="Tahoma"/>
            <family val="2"/>
          </rPr>
          <t>Author:</t>
        </r>
        <r>
          <rPr>
            <sz val="9"/>
            <color indexed="81"/>
            <rFont val="Tahoma"/>
            <family val="2"/>
          </rPr>
          <t xml:space="preserve">
Se introduce en negativo, es un gasto</t>
        </r>
      </text>
    </comment>
    <comment ref="A13" authorId="0" shapeId="0" xr:uid="{0740D686-EFAB-4A79-B6E2-E812E21F8F1E}">
      <text>
        <r>
          <rPr>
            <b/>
            <sz val="9"/>
            <color indexed="81"/>
            <rFont val="Tahoma"/>
            <family val="2"/>
          </rPr>
          <t>Author:</t>
        </r>
        <r>
          <rPr>
            <sz val="9"/>
            <color indexed="81"/>
            <rFont val="Tahoma"/>
            <family val="2"/>
          </rPr>
          <t xml:space="preserve">
En positivo, es un ingreso</t>
        </r>
      </text>
    </comment>
    <comment ref="A14" authorId="0" shapeId="0" xr:uid="{94EB8843-69ED-4997-BE4A-ABDA0247C8A0}">
      <text>
        <r>
          <rPr>
            <b/>
            <sz val="11"/>
            <color theme="1"/>
            <rFont val="Calibri"/>
            <family val="2"/>
            <scheme val="minor"/>
          </rPr>
          <t>IDC:</t>
        </r>
        <r>
          <rPr>
            <sz val="11"/>
            <color theme="1"/>
            <rFont val="Calibri"/>
            <family val="2"/>
            <scheme val="minor"/>
          </rPr>
          <t xml:space="preserve"> 
Total Interest Expense = Interest Expense + Interest Income
Número Negativo = gasto // Positivo = ingreso</t>
        </r>
      </text>
    </comment>
    <comment ref="R14" authorId="0" shapeId="0" xr:uid="{12E32CEC-1BC3-43A5-90B0-A4F333D1BA80}">
      <text>
        <r>
          <rPr>
            <b/>
            <sz val="9"/>
            <color indexed="81"/>
            <rFont val="Tahoma"/>
            <family val="2"/>
          </rPr>
          <t>Author:</t>
        </r>
        <r>
          <rPr>
            <sz val="9"/>
            <color indexed="81"/>
            <rFont val="Tahoma"/>
            <family val="2"/>
          </rPr>
          <t xml:space="preserve">
Si es negativo, implica que la empresa ha recomprado más acciones de las que emite</t>
        </r>
      </text>
    </comment>
    <comment ref="A15" authorId="0" shapeId="0" xr:uid="{03519D34-0372-438B-8018-B0882899913B}">
      <text>
        <r>
          <rPr>
            <b/>
            <sz val="9"/>
            <color indexed="81"/>
            <rFont val="Tahoma"/>
            <family val="2"/>
          </rPr>
          <t>Earnings Before Taxes = Pretax Income = Bneficio antes de impuestos (BAI)</t>
        </r>
      </text>
    </comment>
    <comment ref="A16" authorId="0" shapeId="0" xr:uid="{DFAAD273-4CAA-4F13-97DC-133243016382}">
      <text>
        <r>
          <rPr>
            <sz val="9"/>
            <color indexed="81"/>
            <rFont val="Tahoma"/>
            <family val="2"/>
          </rPr>
          <t>Introducir en negativo si es un ingreso (devolución de impuestos)
Taxes Paid = Tax Expense = Impuesto sobre beneficio</t>
        </r>
      </text>
    </comment>
    <comment ref="A17" authorId="0" shapeId="0" xr:uid="{060F079A-FB43-4862-B558-6503A3045D57}">
      <text>
        <r>
          <rPr>
            <sz val="9"/>
            <color rgb="FF000000"/>
            <rFont val="Tahoma"/>
            <family val="2"/>
          </rPr>
          <t>Effective Tax Rate = Tasa impositiva efectiva = Impuesto sobre beneficio = Impuesto de sociedades</t>
        </r>
      </text>
    </comment>
    <comment ref="L17" authorId="0" shapeId="0" xr:uid="{98244F24-EC1B-47E9-8739-F13AD6884DBC}">
      <text>
        <r>
          <rPr>
            <b/>
            <sz val="9"/>
            <color indexed="81"/>
            <rFont val="Tahoma"/>
            <family val="2"/>
          </rPr>
          <t>Author:</t>
        </r>
        <r>
          <rPr>
            <sz val="9"/>
            <color indexed="81"/>
            <rFont val="Tahoma"/>
            <family val="2"/>
          </rPr>
          <t xml:space="preserve">
Mediana últimos 3 años</t>
        </r>
      </text>
    </comment>
    <comment ref="A18" authorId="0" shapeId="0" xr:uid="{21639DC2-DD9C-486E-BDB3-025700068E34}">
      <text>
        <r>
          <rPr>
            <b/>
            <sz val="9"/>
            <color indexed="81"/>
            <rFont val="Tahoma"/>
            <family val="2"/>
          </rPr>
          <t>Author:</t>
        </r>
        <r>
          <rPr>
            <sz val="9"/>
            <color indexed="81"/>
            <rFont val="Tahoma"/>
            <family val="2"/>
          </rPr>
          <t xml:space="preserve">
Consolidated Net Income = Beneficio Neto Consolidado (antes de descontar intereses minoritarios)</t>
        </r>
      </text>
    </comment>
    <comment ref="A20" authorId="0" shapeId="0" xr:uid="{A5D78346-AF0F-42C2-8738-E6BEFEE29455}">
      <text>
        <r>
          <rPr>
            <sz val="9"/>
            <color indexed="81"/>
            <rFont val="Tahoma"/>
            <family val="2"/>
          </rPr>
          <t>Net Income = Net Income to the company = Net income to common shareholders = Profit after taxes = Beneficio neto = beneficio después de impuestos = resultado neto</t>
        </r>
      </text>
    </comment>
    <comment ref="A21" authorId="0" shapeId="0" xr:uid="{3B567CB2-F717-46CA-B9E9-23B23D652581}">
      <text>
        <r>
          <rPr>
            <b/>
            <sz val="9"/>
            <color indexed="81"/>
            <rFont val="Tahoma"/>
            <family val="2"/>
          </rPr>
          <t>Author:</t>
        </r>
        <r>
          <rPr>
            <sz val="9"/>
            <color indexed="81"/>
            <rFont val="Tahoma"/>
            <family val="2"/>
          </rPr>
          <t xml:space="preserve">
Margen de beneficio neto</t>
        </r>
      </text>
    </comment>
    <comment ref="A23" authorId="0" shapeId="0" xr:uid="{50699F69-1902-4A9B-958F-1D84A1BAAB7C}">
      <text>
        <r>
          <rPr>
            <sz val="9"/>
            <color indexed="81"/>
            <rFont val="Tahoma"/>
            <family val="2"/>
          </rPr>
          <t>EPS = Earnings Per Share = Net income per share = Beneficio por acción = Beneficio neto por acción</t>
        </r>
      </text>
    </comment>
    <comment ref="A25" authorId="0" shapeId="0" xr:uid="{2C780190-F3CB-4DE5-8AED-A1838AC6E740}">
      <text>
        <r>
          <rPr>
            <sz val="9"/>
            <color indexed="81"/>
            <rFont val="Tahoma"/>
            <family val="2"/>
          </rPr>
          <t>Número total de acciones diluidas</t>
        </r>
      </text>
    </comment>
    <comment ref="L26" authorId="0" shapeId="0" xr:uid="{5E6EECB7-102E-42F9-BE29-1E8749E2E641}">
      <text>
        <r>
          <rPr>
            <b/>
            <sz val="9"/>
            <color indexed="81"/>
            <rFont val="Tahoma"/>
            <family val="2"/>
          </rPr>
          <t>Author:</t>
        </r>
        <r>
          <rPr>
            <sz val="9"/>
            <color indexed="81"/>
            <rFont val="Tahoma"/>
            <family val="2"/>
          </rPr>
          <t xml:space="preserve">
Mediana últimos 3 años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7E4C5449-4D6C-4E95-A98D-57D9FD6E0B74}">
      <text>
        <r>
          <rPr>
            <sz val="9"/>
            <color indexed="81"/>
            <rFont val="Tahoma"/>
            <family val="2"/>
          </rPr>
          <t>Si la compañlía no detalla cuando gasta en capex mantenimiento podemos:
a) Usar el CapEx / sales medio de los rivales más maduros del sector, ya que apenas tendrán CapEx de crecimiento
b) Usar la Depreciación como CapEx de mantenimiento aproximado
Nombres comunes para esta partida:
Capital Expenditure / Capital Spending / Investments in fixed/intangible assets / Purchases of PP&amp;E / Inversión en inmovilizado material/inmaterial</t>
        </r>
      </text>
    </comment>
    <comment ref="A7" authorId="0" shapeId="0" xr:uid="{45801A05-2E25-416B-A34E-FBB55E8A4A75}">
      <text>
        <r>
          <rPr>
            <sz val="9"/>
            <color indexed="81"/>
            <rFont val="Tahoma"/>
            <family val="2"/>
          </rPr>
          <t>Inventarios</t>
        </r>
      </text>
    </comment>
    <comment ref="A8" authorId="0" shapeId="0" xr:uid="{DD6AF691-1E83-49CF-921D-5509B7E82574}">
      <text>
        <r>
          <rPr>
            <sz val="9"/>
            <color rgb="FF000000"/>
            <rFont val="Tahoma"/>
            <family val="2"/>
          </rPr>
          <t>Receivables, customer accounts, cuentas a cobrar</t>
        </r>
      </text>
    </comment>
    <comment ref="A9" authorId="0" shapeId="0" xr:uid="{028FB7C3-AB96-4677-8F0C-92F7FAC5C8F0}">
      <text>
        <r>
          <rPr>
            <sz val="9"/>
            <color indexed="81"/>
            <rFont val="Tahoma"/>
            <family val="2"/>
          </rPr>
          <t>Payables, supplier accounts, cuentas a pagar</t>
        </r>
      </text>
    </comment>
    <comment ref="A10" authorId="0" shapeId="0" xr:uid="{0A121268-3A5E-489A-A9C2-65CADFB87A1E}">
      <text>
        <r>
          <rPr>
            <b/>
            <sz val="9"/>
            <color indexed="81"/>
            <rFont val="Tahoma"/>
            <family val="2"/>
          </rPr>
          <t>Author:</t>
        </r>
        <r>
          <rPr>
            <sz val="9"/>
            <color indexed="81"/>
            <rFont val="Tahoma"/>
            <family val="2"/>
          </rPr>
          <t xml:space="preserve">
Ingresos diferidos
Corresponde a dinero que la compañía ya ha ingresado en la caja fuerte, pero que todavía no ha podido contabilizar
Ejemplos: Cuota del gimnasio, pagas 12 meses por adelantado, pero la compañía solo ha podido contabilizar el 1º trimestre (3 meses de ventas). Los restantes 9 meses, aparecerán en el balance como "Unearned revenue", a pesar de que ya tienen el dinero en la caja fuerte.
Ocurre lo mismo con modelos de negocios basados en suscripciones: Spotify, Amazon/AWS, Microsoft/Azure...</t>
        </r>
      </text>
    </comment>
    <comment ref="B12" authorId="0" shapeId="0" xr:uid="{9B683770-B6E3-460C-AC7B-38A96453D4AF}">
      <text>
        <r>
          <rPr>
            <sz val="9"/>
            <color indexed="81"/>
            <rFont val="Tahoma"/>
            <family val="2"/>
          </rPr>
          <t>No se pueden calcular las variaciones de WC ya que no hay datos del año fiscal anterior</t>
        </r>
      </text>
    </comment>
    <comment ref="A13" authorId="0" shapeId="0" xr:uid="{215FCB64-0431-4F4D-B7DB-336EB51BC533}">
      <text>
        <r>
          <rPr>
            <sz val="9"/>
            <color rgb="FF000000"/>
            <rFont val="Tahoma"/>
            <family val="2"/>
          </rPr>
          <t>Por defecto obtiene los valores de "Minority Interests" desde la hoja "1. Income Statement". 
SE PUEDE CAMBIAR
Si es un ingreso, va en POSITIVO</t>
        </r>
      </text>
    </comment>
    <comment ref="A14" authorId="0" shapeId="0" xr:uid="{8187D48E-A1E3-4C13-8B0C-B63CF9AB00A6}">
      <text>
        <r>
          <rPr>
            <b/>
            <sz val="9"/>
            <color indexed="81"/>
            <rFont val="Tahoma"/>
            <family val="2"/>
          </rPr>
          <t>IDC:</t>
        </r>
        <r>
          <rPr>
            <sz val="9"/>
            <color indexed="81"/>
            <rFont val="Tahoma"/>
            <family val="2"/>
          </rPr>
          <t xml:space="preserve">
FCF = EBITDA - Intereses - Impuestos - CapEx Mantenimiento - Cambios en Working Capital</t>
        </r>
      </text>
    </comment>
    <comment ref="A19" authorId="0" shapeId="0" xr:uid="{0E9138F3-2CC5-4D1C-BDB2-93B3E5AB7D63}">
      <text>
        <r>
          <rPr>
            <b/>
            <sz val="9"/>
            <color indexed="81"/>
            <rFont val="Tahoma"/>
            <family val="2"/>
          </rPr>
          <t xml:space="preserve">IDC:
Cambio neto en la posición de caja
</t>
        </r>
        <r>
          <rPr>
            <sz val="9"/>
            <color indexed="81"/>
            <rFont val="Tahoma"/>
            <family val="2"/>
          </rPr>
          <t xml:space="preserve">Este campo es la suma del resultado de las tres clases de flujos de caja:
     Net change in cash = Cash from Operations + Cash from Investing + Cash from Financing
Es el movimiento </t>
        </r>
        <r>
          <rPr>
            <b/>
            <sz val="9"/>
            <color indexed="81"/>
            <rFont val="Tahoma"/>
            <family val="2"/>
          </rPr>
          <t>REAL</t>
        </r>
        <r>
          <rPr>
            <sz val="9"/>
            <color indexed="81"/>
            <rFont val="Tahoma"/>
            <family val="2"/>
          </rPr>
          <t xml:space="preserve"> de caja de la empresa, incluye el dinero que generan (o que "queman") las operaciones, las inversiones y la financiación
- Si la partida es </t>
        </r>
        <r>
          <rPr>
            <b/>
            <sz val="9"/>
            <color indexed="81"/>
            <rFont val="Tahoma"/>
            <family val="2"/>
          </rPr>
          <t>negativa</t>
        </r>
        <r>
          <rPr>
            <sz val="9"/>
            <color indexed="81"/>
            <rFont val="Tahoma"/>
            <family val="2"/>
          </rPr>
          <t xml:space="preserve"> refleja cuanto dinero ha </t>
        </r>
        <r>
          <rPr>
            <b/>
            <sz val="9"/>
            <color indexed="81"/>
            <rFont val="Tahoma"/>
            <family val="2"/>
          </rPr>
          <t>QUEMADO</t>
        </r>
        <r>
          <rPr>
            <sz val="9"/>
            <color indexed="81"/>
            <rFont val="Tahoma"/>
            <family val="2"/>
          </rPr>
          <t xml:space="preserve"> de la caja fuerte la empresa 
- Si la partida es </t>
        </r>
        <r>
          <rPr>
            <b/>
            <sz val="9"/>
            <color indexed="81"/>
            <rFont val="Tahoma"/>
            <family val="2"/>
          </rPr>
          <t>positiva</t>
        </r>
        <r>
          <rPr>
            <sz val="9"/>
            <color indexed="81"/>
            <rFont val="Tahoma"/>
            <family val="2"/>
          </rPr>
          <t xml:space="preserve"> refleja cuanto dinero ha </t>
        </r>
        <r>
          <rPr>
            <b/>
            <sz val="9"/>
            <color indexed="81"/>
            <rFont val="Tahoma"/>
            <family val="2"/>
          </rPr>
          <t>INGRESADO</t>
        </r>
        <r>
          <rPr>
            <sz val="9"/>
            <color indexed="81"/>
            <rFont val="Tahoma"/>
            <family val="2"/>
          </rPr>
          <t xml:space="preserve"> en la caja fuerte la empresa </t>
        </r>
        <r>
          <rPr>
            <sz val="9"/>
            <color indexed="81"/>
            <rFont val="Tahoma"/>
            <family val="2"/>
          </rPr>
          <t xml:space="preserve">
</t>
        </r>
      </text>
    </comment>
    <comment ref="L23" authorId="0" shapeId="0" xr:uid="{8596BA17-B134-4050-9A4D-79726F0470D8}">
      <text>
        <r>
          <rPr>
            <b/>
            <sz val="9"/>
            <color indexed="81"/>
            <rFont val="Tahoma"/>
            <family val="2"/>
          </rPr>
          <t>Author:</t>
        </r>
        <r>
          <rPr>
            <sz val="9"/>
            <color indexed="81"/>
            <rFont val="Tahoma"/>
            <family val="2"/>
          </rPr>
          <t xml:space="preserve">
Mediana últimos 3 años</t>
        </r>
      </text>
    </comment>
    <comment ref="A25" authorId="0" shapeId="0" xr:uid="{A7F52697-D178-4EED-BE1B-D0A9E2643043}">
      <text>
        <r>
          <rPr>
            <b/>
            <sz val="9"/>
            <color indexed="81"/>
            <rFont val="Tahoma"/>
            <family val="2"/>
          </rPr>
          <t xml:space="preserve">IDC:
</t>
        </r>
        <r>
          <rPr>
            <sz val="9"/>
            <color indexed="81"/>
            <rFont val="Tahoma"/>
            <family val="2"/>
          </rPr>
          <t xml:space="preserve">
"Cash conversion"</t>
        </r>
      </text>
    </comment>
    <comment ref="A28" authorId="0" shapeId="0" xr:uid="{38F67F84-D690-4234-A465-04A5E9FAFEDC}">
      <text>
        <r>
          <rPr>
            <b/>
            <sz val="9"/>
            <color indexed="81"/>
            <rFont val="Tahoma"/>
            <family val="2"/>
          </rPr>
          <t>IDC:</t>
        </r>
        <r>
          <rPr>
            <sz val="9"/>
            <color indexed="81"/>
            <rFont val="Tahoma"/>
            <family val="2"/>
          </rPr>
          <t xml:space="preserve">
Crecimiento orgánico</t>
        </r>
      </text>
    </comment>
    <comment ref="A29" authorId="0" shapeId="0" xr:uid="{9C25644B-3D43-4114-9967-41697D6FA5FE}">
      <text>
        <r>
          <rPr>
            <b/>
            <sz val="9"/>
            <color indexed="81"/>
            <rFont val="Tahoma"/>
            <family val="2"/>
          </rPr>
          <t xml:space="preserve">IDC:
</t>
        </r>
        <r>
          <rPr>
            <sz val="9"/>
            <color indexed="81"/>
            <rFont val="Tahoma"/>
            <family val="2"/>
          </rPr>
          <t xml:space="preserve">Crecimiento inorgánico. </t>
        </r>
        <r>
          <rPr>
            <sz val="9"/>
            <color indexed="81"/>
            <rFont val="Tahoma"/>
            <family val="2"/>
          </rPr>
          <t>Usamos la partida neta:
Adquisiciones = Cash acquisitions - Divestitures
Si el % es negativo, implica que las desinversiones son superiores a las adquisiciones, es decir, la empresa ingresó más dinero del que invirtió en adquisiiciones</t>
        </r>
      </text>
    </comment>
    <comment ref="A30" authorId="0" shapeId="0" xr:uid="{A7F2B90A-4F24-440C-9BC1-B7B7D8D3C989}">
      <text>
        <r>
          <rPr>
            <b/>
            <sz val="9"/>
            <color indexed="81"/>
            <rFont val="Tahoma"/>
            <family val="2"/>
          </rPr>
          <t>IDC:</t>
        </r>
        <r>
          <rPr>
            <sz val="9"/>
            <color indexed="81"/>
            <rFont val="Tahoma"/>
            <family val="2"/>
          </rPr>
          <t xml:space="preserve">
Equivale al Payout ratio, pero en lugar de dividir los dividendos entre el Net Income, lo dividimos entre el FCF, que es MUCHO más exacto</t>
        </r>
      </text>
    </comment>
    <comment ref="A33" authorId="0" shapeId="0" xr:uid="{C3935C79-5F46-4E42-9487-8D5C4932FE11}">
      <text>
        <r>
          <rPr>
            <b/>
            <sz val="9"/>
            <color indexed="81"/>
            <rFont val="Tahoma"/>
            <family val="2"/>
          </rPr>
          <t>Author:</t>
        </r>
        <r>
          <rPr>
            <sz val="9"/>
            <color indexed="81"/>
            <rFont val="Tahoma"/>
            <family val="2"/>
          </rPr>
          <t xml:space="preserve">
Nos indica qué % del FCF dedican a estos fines
Si es superior al 100%, implica que la compañía ha reducido su posición de caja, o bien ha necesitado emitir deuda para financiarse
Si es negativo, podría ser debido a que hubo una desinversión importante (venta de activos, subsidiaria....), o a que simplemente el FCF fue negativo ese año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E7FCF10F-C203-4A6D-9208-8D1F28C77559}">
      <text>
        <r>
          <rPr>
            <sz val="9"/>
            <color rgb="FF000000"/>
            <rFont val="Tahoma"/>
            <family val="2"/>
          </rPr>
          <t xml:space="preserve">Ojo, no se usa para el cálculo para el cálculo del Invested Capital pero se usará en la Hoja 4 para el cálculo de la "Net Debt"
</t>
        </r>
        <r>
          <rPr>
            <sz val="9"/>
            <color rgb="FF000000"/>
            <rFont val="Tahoma"/>
            <family val="2"/>
          </rPr>
          <t xml:space="preserve">
</t>
        </r>
        <r>
          <rPr>
            <sz val="9"/>
            <color rgb="FF000000"/>
            <rFont val="Tahoma"/>
            <family val="2"/>
          </rPr>
          <t>NO debemos incluir la partida "Restricted cash", salvo que tengamos la certeza de que esa caja se va a desbloquear a muy corto plazo.</t>
        </r>
      </text>
    </comment>
    <comment ref="A5" authorId="0" shapeId="0" xr:uid="{A760C30E-2C8A-4B0E-A9BF-94230459B18C}">
      <text>
        <r>
          <rPr>
            <sz val="9"/>
            <color rgb="FF000000"/>
            <rFont val="Tahoma"/>
            <family val="2"/>
          </rPr>
          <t>Solo los incluimos si aparecen dentro de "Current Assets", también pueden aparecer como "Short-term investments" o similar</t>
        </r>
      </text>
    </comment>
    <comment ref="A6" authorId="0" shapeId="0" xr:uid="{F8330904-3BBC-4923-9215-757FE40F17AE}">
      <text>
        <r>
          <rPr>
            <sz val="9"/>
            <color rgb="FF000000"/>
            <rFont val="Tahoma"/>
            <family val="2"/>
          </rPr>
          <t>Short-Term Debt, Financial Debt, Borrowings, Loans, Current portion of long-term debt, préstamos a corto plazo, deuda financiera corriente
Debemos incluir solo la deuda financiera como préstamos, bonos o instrumentos similares (obligaciones, notas), ya que a nivel legal
Solo incluímos la deuda que conlleve el pago de intereses y pueda hacer quebrar la empresa</t>
        </r>
      </text>
    </comment>
    <comment ref="A7" authorId="0" shapeId="0" xr:uid="{00046227-A860-49EF-8291-9589AE0E1D1F}">
      <text>
        <r>
          <rPr>
            <sz val="9"/>
            <color rgb="FF000000"/>
            <rFont val="Tahoma"/>
            <family val="2"/>
          </rPr>
          <t xml:space="preserve">Long-Term Debt, Financial Debt, Borrowings, Loans, Non-Current portion of long-term debt, préstamos a largo plazo, deuda financiera no corriente
</t>
        </r>
        <r>
          <rPr>
            <sz val="9"/>
            <color rgb="FF000000"/>
            <rFont val="Tahoma"/>
            <family val="2"/>
          </rPr>
          <t xml:space="preserve">
</t>
        </r>
        <r>
          <rPr>
            <sz val="9"/>
            <color rgb="FF000000"/>
            <rFont val="Tahoma"/>
            <family val="2"/>
          </rPr>
          <t xml:space="preserve">Debemos incluir solo la deuda financiera como préstamos, bonos o instrumentos similares (obligaciones, notas), ya que a nivel legal
</t>
        </r>
        <r>
          <rPr>
            <sz val="9"/>
            <color rgb="FF000000"/>
            <rFont val="Tahoma"/>
            <family val="2"/>
          </rPr>
          <t xml:space="preserve">
</t>
        </r>
        <r>
          <rPr>
            <sz val="9"/>
            <color rgb="FF000000"/>
            <rFont val="Tahoma"/>
            <family val="2"/>
          </rPr>
          <t>Solo incluímos la deuda que conlleve el pago de intereses y pueda hacer quebrar la empresa</t>
        </r>
      </text>
    </comment>
    <comment ref="A8" authorId="0" shapeId="0" xr:uid="{FB8C87A6-A2D1-4EE3-B4C3-44AF1E6620FA}">
      <text>
        <r>
          <rPr>
            <sz val="9"/>
            <color rgb="FF000000"/>
            <rFont val="Tahoma"/>
            <family val="2"/>
          </rPr>
          <t>Parte a corto plazo de los "operating leases", si existen en el balance dentro de "Current Liabilities"  ("Pasivo Corriente")
En general, solo nos interesa incluirlos si se detalla de manera explícita en el balance. Cuando no lo detallan con una partida aparte no suele ser una cantidad representativa (p.ej. 50 millones de operating leases sobre un invested capital de 5.000 millones), por lo que el resultado no variará</t>
        </r>
      </text>
    </comment>
    <comment ref="A9" authorId="0" shapeId="0" xr:uid="{BE29A422-5397-46BF-A0B8-AA72F4A17A8E}">
      <text>
        <r>
          <rPr>
            <sz val="9"/>
            <color indexed="81"/>
            <rFont val="Tahoma"/>
            <family val="2"/>
          </rPr>
          <t>Parte a largo plazo de los "operating leases", si existen en el balance dentro de "Non-Current Liabilities"  ("Pasivo No Corriente")
En general, solo nos interesa incluirlos si se detalla de manera explícita en el balance. Cuando no lo detallan con una partida aparte no suele ser una cantidad representativa (p.ej. 50 millones de operating leases sobre un invested capital de 5.000 millones), por lo que el resultado no variará</t>
        </r>
      </text>
    </comment>
    <comment ref="A10" authorId="0" shapeId="0" xr:uid="{B2AC1F46-C25C-41A4-98CE-912CD3281F2D}">
      <text>
        <r>
          <rPr>
            <sz val="9"/>
            <color indexed="81"/>
            <rFont val="Tahoma"/>
            <family val="2"/>
          </rPr>
          <t>Shareholder's Equity = Shareholder's Investment = Equity attributable to the owners of the company = Patrimonio Neto = Fondos Propios = Valor Contable</t>
        </r>
      </text>
    </comment>
    <comment ref="A11" authorId="0" shapeId="0" xr:uid="{7BB5DFC4-7801-49E8-917A-666300290598}">
      <text>
        <r>
          <rPr>
            <sz val="9"/>
            <color rgb="FF000000"/>
            <rFont val="Tahoma"/>
            <family val="2"/>
          </rPr>
          <t xml:space="preserve">Incluye:
</t>
        </r>
        <r>
          <rPr>
            <sz val="9"/>
            <color rgb="FF000000"/>
            <rFont val="Tahoma"/>
            <family val="2"/>
          </rPr>
          <t xml:space="preserve">
</t>
        </r>
        <r>
          <rPr>
            <sz val="9"/>
            <color rgb="FF000000"/>
            <rFont val="Tahoma"/>
            <family val="2"/>
          </rPr>
          <t xml:space="preserve">(-) Marketable securities
</t>
        </r>
        <r>
          <rPr>
            <sz val="9"/>
            <color rgb="FF000000"/>
            <rFont val="Tahoma"/>
            <family val="2"/>
          </rPr>
          <t xml:space="preserve">(+) Deuda financiera total
</t>
        </r>
        <r>
          <rPr>
            <sz val="9"/>
            <color rgb="FF000000"/>
            <rFont val="Tahoma"/>
            <family val="2"/>
          </rPr>
          <t xml:space="preserve">(+) Operating Leases
</t>
        </r>
        <r>
          <rPr>
            <sz val="9"/>
            <color rgb="FF000000"/>
            <rFont val="Tahoma"/>
            <family val="2"/>
          </rPr>
          <t>(+) Equity</t>
        </r>
      </text>
    </comment>
    <comment ref="A16" authorId="0" shapeId="0" xr:uid="{0DF9B622-6D49-4830-8625-DF94449E2AE3}">
      <text>
        <r>
          <rPr>
            <b/>
            <sz val="9"/>
            <color indexed="81"/>
            <rFont val="Tahoma"/>
            <family val="2"/>
          </rPr>
          <t>IDC:</t>
        </r>
        <r>
          <rPr>
            <sz val="9"/>
            <color indexed="81"/>
            <rFont val="Tahoma"/>
            <family val="2"/>
          </rPr>
          <t xml:space="preserve">
Tasa de reinversión (orgánica + inorgánica)
Orgánica = CapEx Expansión
Inorgánica = Importet pagado por adquisiciones
</t>
        </r>
        <r>
          <rPr>
            <b/>
            <sz val="9"/>
            <color indexed="81"/>
            <rFont val="Tahoma"/>
            <family val="2"/>
          </rPr>
          <t>Tasa de reinversión</t>
        </r>
        <r>
          <rPr>
            <sz val="9"/>
            <color indexed="81"/>
            <rFont val="Tahoma"/>
            <family val="2"/>
          </rPr>
          <t xml:space="preserve"> = ((Capex neto - Capex mantenimiento) + Importe pagado por adquisiciones) / FCF
Ojo, es posible que la compañía invierta en crecimiento orgánico a través de su P&amp;L, pero esto no es posible automatizarlo y habría que hacer estimaciones para esa compañía en concreto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43A56478-AC5C-466C-8DE2-C4B978869E47}">
      <text>
        <r>
          <rPr>
            <b/>
            <sz val="9"/>
            <color indexed="81"/>
            <rFont val="Tahoma"/>
            <family val="2"/>
          </rPr>
          <t>IDC:</t>
        </r>
        <r>
          <rPr>
            <sz val="9"/>
            <color indexed="81"/>
            <rFont val="Tahoma"/>
            <family val="2"/>
          </rPr>
          <t xml:space="preserve">
Conviene revisar los en los que hay porcentajes marcados en rojo
El % de emisión de acciones hay que ponerlo en contexto ya que varía según el sector. Lo mejor es compararlo con competidores dirrectos ¿abusan o es lo habitual en el sector?
Si el campo está en blanco, es porque esa partida no existe en ese año fiscal</t>
        </r>
      </text>
    </comment>
    <comment ref="A4" authorId="0" shapeId="0" xr:uid="{14EC4C9B-1430-442F-9526-10662F6DC22F}">
      <text>
        <r>
          <rPr>
            <b/>
            <sz val="9"/>
            <color indexed="81"/>
            <rFont val="Tahoma"/>
            <family val="2"/>
          </rPr>
          <t>Author:</t>
        </r>
        <r>
          <rPr>
            <sz val="9"/>
            <color indexed="81"/>
            <rFont val="Tahoma"/>
            <family val="2"/>
          </rPr>
          <t xml:space="preserve">
Deterioro contable de un activo real o intangible. Podría indicar que la empresa ha malgastado capital de los accionistas
Debemos investigar porqué se ha contabilizado ese impairmentt
En muchas ocasiones está relacionado con </t>
        </r>
        <r>
          <rPr>
            <b/>
            <sz val="9"/>
            <color indexed="81"/>
            <rFont val="Tahoma"/>
            <family val="2"/>
          </rPr>
          <t>sobrepagar</t>
        </r>
        <r>
          <rPr>
            <sz val="9"/>
            <color indexed="81"/>
            <rFont val="Tahoma"/>
            <family val="2"/>
          </rPr>
          <t xml:space="preserve"> por una adquisición, como vimos en el curso avanzado cuando Kraft compró Heinzz</t>
        </r>
      </text>
    </comment>
    <comment ref="A5" authorId="0" shapeId="0" xr:uid="{E9DE07DA-AD4F-498B-B6EA-32894AAB71C4}">
      <text>
        <r>
          <rPr>
            <b/>
            <sz val="9"/>
            <color indexed="81"/>
            <rFont val="Tahoma"/>
            <family val="2"/>
          </rPr>
          <t>Author:</t>
        </r>
        <r>
          <rPr>
            <sz val="9"/>
            <color indexed="81"/>
            <rFont val="Tahoma"/>
            <family val="2"/>
          </rPr>
          <t xml:space="preserve">
También puede estar relacionado con adquisiciones
Si una empresa vende una empresa que había comprado con anterioridad, es porque cometieron un error all comprarla
Algunas empresas son buenas vendiendo activos a múltiplos elevados, pero este tipo de compañías son la excepción</t>
        </r>
      </text>
    </comment>
    <comment ref="A7" authorId="0" shapeId="0" xr:uid="{9E21F121-A156-484D-AA53-90A73B7C8163}">
      <text>
        <r>
          <rPr>
            <b/>
            <sz val="9"/>
            <color indexed="81"/>
            <rFont val="Tahoma"/>
            <family val="2"/>
          </rPr>
          <t>Author:</t>
        </r>
        <r>
          <rPr>
            <sz val="9"/>
            <color indexed="81"/>
            <rFont val="Tahoma"/>
            <family val="2"/>
          </rPr>
          <t xml:space="preserve">
Corresponde a pagos en acciones Y amplilaciones de capital</t>
        </r>
      </text>
    </comment>
    <comment ref="A8" authorId="0" shapeId="0" xr:uid="{22F72610-F0F2-493C-B4B7-D81035139D22}">
      <text>
        <r>
          <rPr>
            <b/>
            <sz val="9"/>
            <color indexed="81"/>
            <rFont val="Tahoma"/>
            <family val="2"/>
          </rPr>
          <t>Author:</t>
        </r>
        <r>
          <rPr>
            <sz val="9"/>
            <color indexed="81"/>
            <rFont val="Tahoma"/>
            <family val="2"/>
          </rPr>
          <t xml:space="preserve">
Costes "extraordinarios" relacionados con: 
- Integración de adquisiciones
- Reestructuraciones
- Deterioros contables (Impairments)
- Juicios</t>
        </r>
      </text>
    </comment>
    <comment ref="A15" authorId="0" shapeId="0" xr:uid="{AC14C146-A130-438D-A6F5-3553126AEDF4}">
      <text>
        <r>
          <rPr>
            <b/>
            <sz val="9"/>
            <color indexed="81"/>
            <rFont val="Tahoma"/>
            <family val="2"/>
          </rPr>
          <t>IDC:</t>
        </r>
        <r>
          <rPr>
            <sz val="9"/>
            <color indexed="81"/>
            <rFont val="Tahoma"/>
            <family val="2"/>
          </rPr>
          <t xml:space="preserve">
El ROIC promedio del S&amp;P 500 durantte el primer trimestre de 2023 fue del 9,9%
No tiene sentido invertir en empresas que vayan a generar un ROIC del 10% (para eso nos compramos el S&amp;P 500), salvo que veamos que la empresa va a mejorar su ROIC (p.ej. aumentando su margen operativo o reduciendo su capital invertido =&gt; repagando deuda, recomprando acciones y/o pagando un dividendo especial)</t>
        </r>
      </text>
    </comment>
    <comment ref="A16" authorId="0" shapeId="0" xr:uid="{850F89B4-B224-4CBF-89CB-03FC75196CAD}">
      <text>
        <r>
          <rPr>
            <b/>
            <sz val="9"/>
            <color indexed="81"/>
            <rFont val="Tahoma"/>
            <family val="2"/>
          </rPr>
          <t>IDC:</t>
        </r>
        <r>
          <rPr>
            <sz val="9"/>
            <color indexed="81"/>
            <rFont val="Tahoma"/>
            <family val="2"/>
          </rPr>
          <t xml:space="preserve">
Este ratio es MUY relativo, ya que para una empresa cíclica un nivel &gt;1x podría ser excesivo, mientras que para ottra empresa muy estable, como una cadena de supermercados, podría aguantar &gt;4x sin problemas
Como referencia, el ratio deuda Neta / EBITDA medio de las empresas que componen ell S&amp;P 500 en 2022 fue de 2,2x</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3" authorId="0" shapeId="0" xr:uid="{65389CF9-C440-494C-A3C7-72254C0108CA}">
      <text>
        <r>
          <rPr>
            <sz val="9"/>
            <color indexed="81"/>
            <rFont val="Tahoma"/>
            <family val="2"/>
          </rPr>
          <t>Ojo, hay que incluir TODOS los gastos de ventas y operativos del negocio:
- Costes de ventas (Cost of sales o Costs of goods sold)
- Operating Costs (incluyendo SG&amp;A, R&amp;D y todos los gastos operativos que correspondan)</t>
        </r>
      </text>
    </comment>
    <comment ref="B10" authorId="0" shapeId="0" xr:uid="{D2B3C4B2-B06B-4E53-9A84-2CCFA295901B}">
      <text>
        <r>
          <rPr>
            <sz val="9"/>
            <color indexed="81"/>
            <rFont val="Tahoma"/>
            <family val="2"/>
          </rPr>
          <t>Si el resultado es negativo, implica que la compañía tiene caja neta (más caja que deuda)</t>
        </r>
      </text>
    </comment>
    <comment ref="C10" authorId="0" shapeId="0" xr:uid="{111D002C-66C0-4D45-AA67-7D6564C3EE44}">
      <text>
        <r>
          <rPr>
            <sz val="9"/>
            <color indexed="81"/>
            <rFont val="Tahoma"/>
            <family val="2"/>
          </rPr>
          <t>Para la deuda SOLO incluímos la deuda financiera que conlleve el pago de intereses y pueda hacer quebrar la empresa.
Normalmente este tipo de deuda son préstamos bancarios, bonos y notas.
Para el "Cash" incluimos las siguientes partidas dentro de "Current Assets" (Activo Corriente):
Cash = Cash + Cash &amp; Equivalents + Marketable Securities
Algunas empresas usan un nombre similar para "Marketable Securities" como "short-term investments".</t>
        </r>
      </text>
    </comment>
    <comment ref="C12" authorId="0" shapeId="0" xr:uid="{20A7DF0C-EB9D-4B19-99C4-195B997CF099}">
      <text>
        <r>
          <rPr>
            <sz val="9"/>
            <color rgb="FF000000"/>
            <rFont val="Tahoma"/>
            <family val="2"/>
          </rPr>
          <t>En caso de existir acciones preferentes y/o intereses minoritarios, también hay que incluir la valoración a mercado de estas partidas y sumárselas al EV</t>
        </r>
      </text>
    </comment>
    <comment ref="D12" authorId="0" shapeId="0" xr:uid="{20C33B7E-FF9A-424F-BFE9-CB4AD4B9BEBF}">
      <text>
        <r>
          <rPr>
            <sz val="9"/>
            <color indexed="81"/>
            <rFont val="Tahoma"/>
            <family val="2"/>
          </rPr>
          <t>Solo para empresas con posición de caja neta (Caja &gt; Deuda financiera neta)
La caja neta REDUCE el EV de la empresa</t>
        </r>
      </text>
    </comment>
    <comment ref="C25" authorId="0" shapeId="0" xr:uid="{F0B1CB8D-3A90-44B9-B8C9-A9A29FF15765}">
      <text>
        <r>
          <rPr>
            <sz val="9"/>
            <color indexed="81"/>
            <rFont val="Tahoma"/>
            <family val="2"/>
          </rPr>
          <t>T = Tax Rate = Effective Tax Rate</t>
        </r>
      </text>
    </comment>
    <comment ref="D25" authorId="0" shapeId="0" xr:uid="{3989015F-C005-4349-9C59-CAC4BD3B1717}">
      <text>
        <r>
          <rPr>
            <sz val="9"/>
            <color indexed="81"/>
            <rFont val="Tahoma"/>
            <family val="2"/>
          </rPr>
          <t>Deuda financiera total = Short Term Debt + Long Term Debt
Los operating leases también incluimos tanto a Corto Plazo como a Largo Plazo, en los casos que aparezcan detallados en el balance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7" authorId="0" shapeId="0" xr:uid="{5EDF05E5-1EE2-43B8-ADFB-4F93178FEE21}">
      <text>
        <r>
          <rPr>
            <b/>
            <sz val="9"/>
            <color indexed="81"/>
            <rFont val="Tahoma"/>
            <family val="2"/>
          </rPr>
          <t>Author:</t>
        </r>
        <r>
          <rPr>
            <sz val="9"/>
            <color indexed="81"/>
            <rFont val="Tahoma"/>
            <family val="2"/>
          </rPr>
          <t xml:space="preserve">
Sumamos el CapEx en intangibles, ya que normalmente es recurrente en las empresas que capitalizan este tipo de gastos (Ejemplo: Desarrolladoras de videojuegos)</t>
        </r>
      </text>
    </comment>
    <comment ref="A22" authorId="0" shapeId="0" xr:uid="{5B251530-83DB-4D51-BDB1-D6ED3A85DA7A}">
      <text>
        <r>
          <rPr>
            <b/>
            <sz val="9"/>
            <color indexed="81"/>
            <rFont val="Tahoma"/>
            <family val="2"/>
          </rPr>
          <t>Author:</t>
        </r>
        <r>
          <rPr>
            <sz val="9"/>
            <color indexed="81"/>
            <rFont val="Tahoma"/>
            <family val="2"/>
          </rPr>
          <t xml:space="preserve">
Sumatorio de TODA la deuda financiera: Corto Plazo + Largo Plazo</t>
        </r>
      </text>
    </comment>
    <comment ref="A43" authorId="0" shapeId="0" xr:uid="{E1E4086A-224C-4BC2-B66E-A35982EFCD5F}">
      <text>
        <r>
          <rPr>
            <b/>
            <sz val="9"/>
            <color indexed="81"/>
            <rFont val="Tahoma"/>
            <family val="2"/>
          </rPr>
          <t>Author:</t>
        </r>
        <r>
          <rPr>
            <sz val="9"/>
            <color indexed="81"/>
            <rFont val="Tahoma"/>
            <family val="2"/>
          </rPr>
          <t xml:space="preserve">
Número positivo = repago neto de deuda
Número negativo = emisión neta de deuda</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<sst xmlns="http://schemas.openxmlformats.org/spreadsheetml/2006/main" count="324" uniqueCount="246">
  <si>
    <t>Consolidated Net Income</t>
  </si>
  <si>
    <t>Net Income</t>
  </si>
  <si>
    <t>EBITDA</t>
  </si>
  <si>
    <t xml:space="preserve">EBIT </t>
  </si>
  <si>
    <t>EBIT</t>
  </si>
  <si>
    <t>Net income</t>
  </si>
  <si>
    <t>FCF</t>
  </si>
  <si>
    <t>Sales</t>
  </si>
  <si>
    <t xml:space="preserve">    EBITDA margin %</t>
  </si>
  <si>
    <t xml:space="preserve">    EBIT margin %</t>
  </si>
  <si>
    <t>Market cap</t>
  </si>
  <si>
    <t xml:space="preserve">    Y/Y Growth %</t>
  </si>
  <si>
    <t>(+) Equity</t>
  </si>
  <si>
    <t xml:space="preserve">Free Cash Flow </t>
  </si>
  <si>
    <t>EBIT x (1-t)</t>
  </si>
  <si>
    <t>(-) Marketable Securities</t>
  </si>
  <si>
    <t>EBT</t>
  </si>
  <si>
    <t xml:space="preserve">    Tax rate %</t>
  </si>
  <si>
    <t>EPS</t>
  </si>
  <si>
    <t>Precio por acción actual</t>
  </si>
  <si>
    <t>PER</t>
  </si>
  <si>
    <t>Market Cap. / Beneficio Neto</t>
  </si>
  <si>
    <t>Precio por acción / EPS</t>
  </si>
  <si>
    <t>Enterprise Value (EV)</t>
  </si>
  <si>
    <t>Market Cap - Caja Neta</t>
  </si>
  <si>
    <t>Market Cap.</t>
  </si>
  <si>
    <t>Nº de acciones totales diluídas x Precio por acción</t>
  </si>
  <si>
    <t>Net Income + Interests (net) + Taxes + Depreciation + Amortization</t>
  </si>
  <si>
    <t>Ingresos - Gastos de Explotación</t>
  </si>
  <si>
    <t>EBIT + D&amp;A</t>
  </si>
  <si>
    <t>Net Income + Interests (net) + Taxes</t>
  </si>
  <si>
    <t>Ingresos - Gastos de Explotación - D&amp;A</t>
  </si>
  <si>
    <t>EBITDA - D&amp;A</t>
  </si>
  <si>
    <t>Net Income + Interests (net)</t>
  </si>
  <si>
    <t>EBIT - Interests (net) - Other financial items</t>
  </si>
  <si>
    <t>Ingresos - Gastos de Explotación - D&amp;A - Interests (net) - Other financial items</t>
  </si>
  <si>
    <t>Ingresos - Gastos de Explotación - D&amp;A - Interests (net) - Other financial items - taxes</t>
  </si>
  <si>
    <t>EBT - Taxes</t>
  </si>
  <si>
    <t>Net Income / Nº total de acciones diluídas</t>
  </si>
  <si>
    <t>Neto</t>
  </si>
  <si>
    <t>EBITDA / Ventas x 100</t>
  </si>
  <si>
    <t>EBIT / Ventas  x 100</t>
  </si>
  <si>
    <t>Net Income / Ventas  x 100</t>
  </si>
  <si>
    <t>FCF / Ventas x 100</t>
  </si>
  <si>
    <t>ROE</t>
  </si>
  <si>
    <t>ROA</t>
  </si>
  <si>
    <t>Capital Invertido = Equity + Deuda financiera total + Operating Leases Total – Marketable Securities</t>
  </si>
  <si>
    <t>Net Income / Total Assets</t>
  </si>
  <si>
    <t>EBIT * (1 - T) / Capital Invertido</t>
  </si>
  <si>
    <t>Inventarios + Cuentas a Cobrar de Clientes - Cuentas a pagar a proveedores</t>
  </si>
  <si>
    <t>Working Capital (WC)</t>
  </si>
  <si>
    <t>CapEx de Mantenimiento</t>
  </si>
  <si>
    <t>Si la directiva no proporciona un capex de mantenimiento exacto, usaremos la D&amp;A como "atajo" para el capex de mantenimiento en los casos que el capex total sea notablemente superior a la D&amp;A</t>
  </si>
  <si>
    <t>Otra opción es usar el % CapEx / Sales del sector, pero esto lleva trabajo, no hay una página que recoja este ratio para todas y cada una de los cientos de industrias que componen todos los sectores</t>
  </si>
  <si>
    <t>EBITDA - Interests (net) - Taxes - CapEx Mantenimiento - Variación de WC</t>
  </si>
  <si>
    <t>Variación de WC (CWC)</t>
  </si>
  <si>
    <t>Tax Rate</t>
  </si>
  <si>
    <t>Margen EBIT</t>
  </si>
  <si>
    <t>Promedio</t>
  </si>
  <si>
    <t>Working Capital / Ventas</t>
  </si>
  <si>
    <t>CapEx Mantenimiento / Ventas</t>
  </si>
  <si>
    <t>(+) Short-Term Debt</t>
  </si>
  <si>
    <t>(+) Long-Term Debt</t>
  </si>
  <si>
    <t>PER ex Cash</t>
  </si>
  <si>
    <t>FCF / Ventas (FCF Margin)</t>
  </si>
  <si>
    <t>Aumento nº acciones</t>
  </si>
  <si>
    <t>(millones, excepto EPS)</t>
  </si>
  <si>
    <t>(millones, excepto FCF per share)</t>
  </si>
  <si>
    <t>Income Statement</t>
  </si>
  <si>
    <t>Cash Flow Statement</t>
  </si>
  <si>
    <t>Eficiencia y márgenes</t>
  </si>
  <si>
    <t>Ratios de rentabilidad</t>
  </si>
  <si>
    <t>Objetivo</t>
  </si>
  <si>
    <t>Precio objetivo</t>
  </si>
  <si>
    <t>Conversión en Caja (EBITDA que se convierte en FCF)</t>
  </si>
  <si>
    <t>(-) Taxes paid</t>
  </si>
  <si>
    <t>WC año más reciente - WC año anterior. (P.ej.: WC 2021 - WC 2020)</t>
  </si>
  <si>
    <t>Valoración</t>
  </si>
  <si>
    <t>Márgenes %</t>
  </si>
  <si>
    <t>Rentabilidad %</t>
  </si>
  <si>
    <t>Enterprise Value / EBITDA</t>
  </si>
  <si>
    <t>Enterprise Value / EBIT</t>
  </si>
  <si>
    <t>Enterprise Value / FCF</t>
  </si>
  <si>
    <t>Inventories + Accounts Receivable + Accounts Payable</t>
  </si>
  <si>
    <r>
      <t xml:space="preserve">Si la </t>
    </r>
    <r>
      <rPr>
        <b/>
        <sz val="12"/>
        <color theme="3"/>
        <rFont val="Ebrima"/>
      </rPr>
      <t>CWC es positiva DISMINUYE el FCF</t>
    </r>
    <r>
      <rPr>
        <sz val="12"/>
        <color theme="3"/>
        <rFont val="Ebrima"/>
      </rPr>
      <t xml:space="preserve"> ya que la empresa tiene que financiar ese aumento de inventarios y/o de cuentas a cobrar</t>
    </r>
  </si>
  <si>
    <r>
      <t xml:space="preserve">Si la </t>
    </r>
    <r>
      <rPr>
        <b/>
        <sz val="12"/>
        <color theme="3"/>
        <rFont val="Ebrima"/>
      </rPr>
      <t>CWC es negativa AUMENTA el FCF</t>
    </r>
    <r>
      <rPr>
        <sz val="12"/>
        <color theme="3"/>
        <rFont val="Ebrima"/>
      </rPr>
      <t>, ya que se 'libera'' capital, es como si la empresa vendiese inventarios y/o cobrase más facturas a clientes</t>
    </r>
  </si>
  <si>
    <t>Retornos sobre el capital invertido</t>
  </si>
  <si>
    <t>Evolución histórica</t>
  </si>
  <si>
    <t>Ventas</t>
  </si>
  <si>
    <t>FCF per share</t>
  </si>
  <si>
    <t>FCF Margin %</t>
  </si>
  <si>
    <t>Intereses</t>
  </si>
  <si>
    <t>Impuestos y otros</t>
  </si>
  <si>
    <t>Cambios de WC</t>
  </si>
  <si>
    <t>Costes de ventas y operativos</t>
  </si>
  <si>
    <t>(millones)</t>
  </si>
  <si>
    <t>EV / FCF</t>
  </si>
  <si>
    <t>EV / EBITDA</t>
  </si>
  <si>
    <t>EV / EBIT</t>
  </si>
  <si>
    <t xml:space="preserve">EV / FCF </t>
  </si>
  <si>
    <t>CapEx Mant.</t>
  </si>
  <si>
    <t>Invested Capital</t>
  </si>
  <si>
    <t>ROIC</t>
  </si>
  <si>
    <t>Free Cash Flow per share - FCFPS</t>
  </si>
  <si>
    <t>Fully diluted shares - millones</t>
  </si>
  <si>
    <t>(-) Otros ajustes - Opcional; p.ej. Minority Interests</t>
  </si>
  <si>
    <t>Total Interest expense</t>
  </si>
  <si>
    <t>CapEx Neto</t>
  </si>
  <si>
    <t>CapEx Mantenimiento</t>
  </si>
  <si>
    <t>Cálculos CF</t>
  </si>
  <si>
    <t>Capital Expenditure*</t>
  </si>
  <si>
    <t>Sale of Property, Plant, and Equipment*</t>
  </si>
  <si>
    <t>Deuda neta / EBITDA</t>
  </si>
  <si>
    <t>Cash and cash equivalents</t>
  </si>
  <si>
    <t>Reinversión</t>
  </si>
  <si>
    <t>CapEx Expansión</t>
  </si>
  <si>
    <t>Inversión en crecimiento</t>
  </si>
  <si>
    <t>(-) Total interest expense</t>
  </si>
  <si>
    <t>Precio actual</t>
  </si>
  <si>
    <t>Valoración (millones)</t>
  </si>
  <si>
    <t>(-) Variación de Working Capital - CWC</t>
  </si>
  <si>
    <t>Working Capital - WC</t>
  </si>
  <si>
    <t>(+) Current Operating Leases Liabilities</t>
  </si>
  <si>
    <t>(+) Non-Current Operating Leases Liabilities</t>
  </si>
  <si>
    <t>Tasa de reinversión</t>
  </si>
  <si>
    <t>Deuda Neta</t>
  </si>
  <si>
    <t>% Largo plazo</t>
  </si>
  <si>
    <t>% Corto plazo</t>
  </si>
  <si>
    <r>
      <t xml:space="preserve">- </t>
    </r>
    <r>
      <rPr>
        <b/>
        <sz val="12"/>
        <color theme="3"/>
        <rFont val="Ebrima"/>
      </rPr>
      <t>OJO</t>
    </r>
    <r>
      <rPr>
        <sz val="12"/>
        <color theme="3"/>
        <rFont val="Ebrima"/>
      </rPr>
      <t xml:space="preserve">: Solo es válido para </t>
    </r>
    <r>
      <rPr>
        <b/>
        <sz val="12"/>
        <color theme="3"/>
        <rFont val="Ebrima"/>
      </rPr>
      <t>TIKR en INGLÉS</t>
    </r>
    <r>
      <rPr>
        <sz val="12"/>
        <color theme="3"/>
        <rFont val="Ebrima"/>
      </rPr>
      <t>, y es recomendable pegar los datos con "formato de destino"</t>
    </r>
  </si>
  <si>
    <r>
      <t xml:space="preserve">Tax Expense - en </t>
    </r>
    <r>
      <rPr>
        <sz val="12"/>
        <color rgb="FFFF0000"/>
        <rFont val="Ebrima"/>
      </rPr>
      <t>negativo</t>
    </r>
  </si>
  <si>
    <t>Asignación de capital (como % del FCF)</t>
  </si>
  <si>
    <t>Recompras</t>
  </si>
  <si>
    <t>Dividendos</t>
  </si>
  <si>
    <t>Adquisiciones</t>
  </si>
  <si>
    <t>Total</t>
  </si>
  <si>
    <t>Acumulado</t>
  </si>
  <si>
    <t>Net Debt (Deuda Financiera Neta)</t>
  </si>
  <si>
    <t>Short-Term Debt + Short-Term Borrowings + Long-Term Debt + Long-Term Borrowings - Cash</t>
  </si>
  <si>
    <t>Market Cap + Net Debt</t>
  </si>
  <si>
    <r>
      <t xml:space="preserve">En empresas </t>
    </r>
    <r>
      <rPr>
        <b/>
        <sz val="12"/>
        <color theme="3"/>
        <rFont val="Ebrima"/>
      </rPr>
      <t>ligeras de activo</t>
    </r>
    <r>
      <rPr>
        <sz val="12"/>
        <color theme="3"/>
        <rFont val="Ebrima"/>
      </rPr>
      <t>s podemos restar también la partida "</t>
    </r>
    <r>
      <rPr>
        <b/>
        <sz val="12"/>
        <color theme="3"/>
        <rFont val="Ebrima"/>
      </rPr>
      <t>Unearned revenue</t>
    </r>
    <r>
      <rPr>
        <sz val="12"/>
        <color theme="3"/>
        <rFont val="Ebrima"/>
      </rPr>
      <t>", tanto "Current" como "Non-current"</t>
    </r>
  </si>
  <si>
    <t>Net Change in Cash</t>
  </si>
  <si>
    <t>Deuda histórica acumulada</t>
  </si>
  <si>
    <t>Caja histórica acumulada</t>
  </si>
  <si>
    <t>Deuda neta histórica acumulada</t>
  </si>
  <si>
    <t>Interest expense acumulado</t>
  </si>
  <si>
    <t>Interest income acumulado</t>
  </si>
  <si>
    <t>% Interest income promedio</t>
  </si>
  <si>
    <t>% Interest expense promedio</t>
  </si>
  <si>
    <t>Marketable securities acumulados</t>
  </si>
  <si>
    <r>
      <t xml:space="preserve">(-) CapEx Mantenimiento - en </t>
    </r>
    <r>
      <rPr>
        <sz val="12"/>
        <color rgb="FFFF0000"/>
        <rFont val="Ebrima"/>
      </rPr>
      <t>negativo</t>
    </r>
  </si>
  <si>
    <t xml:space="preserve"> </t>
  </si>
  <si>
    <t>Sale (Purchase) of Intangible assets*</t>
  </si>
  <si>
    <r>
      <t xml:space="preserve">- Debes introducir todas las partidas con el </t>
    </r>
    <r>
      <rPr>
        <b/>
        <sz val="12"/>
        <color theme="3"/>
        <rFont val="Ebrima"/>
      </rPr>
      <t>MISMO SIGNO QUE EN TIKR</t>
    </r>
    <r>
      <rPr>
        <sz val="12"/>
        <color theme="3"/>
        <rFont val="Ebrima"/>
      </rPr>
      <t xml:space="preserve"> (Número negativo = SALIDA DE CAJA. Número positivo = ENTRADA DE CAJA)</t>
    </r>
  </si>
  <si>
    <t xml:space="preserve">AJUSTAR MANUALMENTE </t>
  </si>
  <si>
    <t>AJUSTAR MANUALMENTE</t>
  </si>
  <si>
    <t>CapEx Expansión (crecimiento orgánico)</t>
  </si>
  <si>
    <t>Instrucciones de uso</t>
  </si>
  <si>
    <t>CapEx Expansión (Crecimiento orgánico)</t>
  </si>
  <si>
    <t>Adquisiciones (Crecimiento inorgánico)</t>
  </si>
  <si>
    <t>Impairments</t>
  </si>
  <si>
    <t>Desinversiones</t>
  </si>
  <si>
    <t>Emisión de acciones</t>
  </si>
  <si>
    <t>Posibles red flags</t>
  </si>
  <si>
    <t>Decrecimiento ventas</t>
  </si>
  <si>
    <t>Decrecimiento margen operativo</t>
  </si>
  <si>
    <t>Posibles "red flags" (1)</t>
  </si>
  <si>
    <t>Posibles "red flags" (2)</t>
  </si>
  <si>
    <t># de años con...</t>
  </si>
  <si>
    <t>Decrecimiento de ventas</t>
  </si>
  <si>
    <t>Decrecimiento de margen operativo</t>
  </si>
  <si>
    <t>FCF negativo</t>
  </si>
  <si>
    <t>Como % de ventas...</t>
  </si>
  <si>
    <t>ROIC "Pobre" (&lt;10%)</t>
  </si>
  <si>
    <t>- Si no te aparece el botón "Copy table", debes seleccionar a mano los datos. Te sitúas con el cursor en la esquina izquierda superior de la tabla de TIKR y desde la franja negra "Income Statement | TIKR.com", arrastras hacia abajo para seleccionar todos los datos de la tabla. Después copias y pegas en la plantilla, como siempre.</t>
  </si>
  <si>
    <t>Ratio Deuda Neta / EBITDA elevado (&gt;2,5x)</t>
  </si>
  <si>
    <t>Posibles "Red Flags"</t>
  </si>
  <si>
    <t>- Si no captura bien los datos, revisa que el separador decimal de tu aplicación de hoja de cálculo coincida con TIKR. También puedes probar a  ocultar los decimales en TIKR ("Decimals to display" =&gt;  0) y pegar de nuevo los datos</t>
  </si>
  <si>
    <t>Adquisiciones (crecimiento inorgánico)</t>
  </si>
  <si>
    <t>Pagos en acciones</t>
  </si>
  <si>
    <t>Deuda Total</t>
  </si>
  <si>
    <t>Deuda CP</t>
  </si>
  <si>
    <t>Deuda LP</t>
  </si>
  <si>
    <t>Estimación Caja y Deuda a futuro</t>
  </si>
  <si>
    <t>Cash + Marketable securities</t>
  </si>
  <si>
    <t>Cash</t>
  </si>
  <si>
    <t>Marketable securities</t>
  </si>
  <si>
    <t>P&amp;L - Beneficio "contable"</t>
  </si>
  <si>
    <t>Fórmula #1</t>
  </si>
  <si>
    <t>Fórmula #2</t>
  </si>
  <si>
    <t>Fórmula #3</t>
  </si>
  <si>
    <t>Net Income / Total Shareholders' Equity</t>
  </si>
  <si>
    <t>Amortización neta de deuda</t>
  </si>
  <si>
    <t>-</t>
  </si>
  <si>
    <t>Interest Expense</t>
  </si>
  <si>
    <t>Depreciation &amp; Amortization</t>
  </si>
  <si>
    <t>Crecimiento de Ventas</t>
  </si>
  <si>
    <t>Interest Income</t>
  </si>
  <si>
    <t>Minority Interests</t>
  </si>
  <si>
    <t xml:space="preserve">    Net margin %</t>
  </si>
  <si>
    <t>(-) Accounts Payable</t>
  </si>
  <si>
    <t>(+) Inventories</t>
  </si>
  <si>
    <t>(+) Accounts Receivable</t>
  </si>
  <si>
    <t>Crecimiento (Gráficos)</t>
  </si>
  <si>
    <t>Márgenes (Gráficos)</t>
  </si>
  <si>
    <t>FCF vs ROIC (Gráficos)</t>
  </si>
  <si>
    <t>Costes (Gráficos)</t>
  </si>
  <si>
    <t>Asignación de capital (2. FCF)</t>
  </si>
  <si>
    <t>(-) Unearned Revenue</t>
  </si>
  <si>
    <t>Margen de seguridad (EV/FCF)</t>
  </si>
  <si>
    <t>Diferencia vs precio actual</t>
  </si>
  <si>
    <t>Retorno anual objetivo</t>
  </si>
  <si>
    <r>
      <t xml:space="preserve">- Los datos "clave" que </t>
    </r>
    <r>
      <rPr>
        <b/>
        <sz val="12"/>
        <color theme="3"/>
        <rFont val="Ebrima"/>
      </rPr>
      <t>debes modificar manualmente</t>
    </r>
    <r>
      <rPr>
        <sz val="12"/>
        <color theme="3"/>
        <rFont val="Ebrima"/>
      </rPr>
      <t xml:space="preserve"> para la valoración están marcados con números en </t>
    </r>
    <r>
      <rPr>
        <b/>
        <sz val="14"/>
        <color theme="9" tint="-0.249977111117893"/>
        <rFont val="Ebrima"/>
      </rPr>
      <t>NARANJA</t>
    </r>
    <r>
      <rPr>
        <sz val="12"/>
        <color theme="3"/>
        <rFont val="Ebrima"/>
      </rPr>
      <t xml:space="preserve"> (Hojas 1, 2 y 4). También puedes modificar las celdas con fondo AZUL FLOJO, si así lo crees necesario.</t>
    </r>
  </si>
  <si>
    <r>
      <t xml:space="preserve">- Opcional: Para que la plantilla obtenga los datos desde </t>
    </r>
    <r>
      <rPr>
        <b/>
        <sz val="14"/>
        <color theme="3"/>
        <rFont val="Ebrima"/>
      </rPr>
      <t>TIKR</t>
    </r>
    <r>
      <rPr>
        <sz val="12"/>
        <color theme="3"/>
        <rFont val="Ebrima"/>
      </rPr>
      <t xml:space="preserve"> debes copiar cada uno de los estados financieros y pegarlos en la celda A1 de las </t>
    </r>
    <r>
      <rPr>
        <b/>
        <sz val="12"/>
        <color theme="3"/>
        <rFont val="Ebrima"/>
      </rPr>
      <t>hojas 7 (IS), 8 (BS) y 9 (CF)</t>
    </r>
  </si>
  <si>
    <t>% Cash + Marketable Securities / Ventas</t>
  </si>
  <si>
    <t>Merger &amp; Restructuring Charges</t>
  </si>
  <si>
    <t>Impairment of Goodwill</t>
  </si>
  <si>
    <t>Asset Writedown</t>
  </si>
  <si>
    <t>Other Unusual Items</t>
  </si>
  <si>
    <t>Múltiplos de valoración (opcional)</t>
  </si>
  <si>
    <t xml:space="preserve">Múltiplos de valoración </t>
  </si>
  <si>
    <t>Cargos "extraordinarios"</t>
  </si>
  <si>
    <t>Legal Settlements</t>
  </si>
  <si>
    <t>Cuentas por pagar (Proveedores)</t>
  </si>
  <si>
    <t>Mediana EV / FCF</t>
  </si>
  <si>
    <t>Beneficio Neto</t>
  </si>
  <si>
    <t>Novedades plantilla v2025.2 (11ª edición curso avanzado)</t>
  </si>
  <si>
    <t>Vídeotutoriales</t>
  </si>
  <si>
    <t>- En Teachable tenéis varios tutoriales con la resolución de los problemas más frecuentes que os soleis encontrar con la plantilla:</t>
  </si>
  <si>
    <t>- Solución problema frecuente: Separador decimal (ERROR "VALOR")</t>
  </si>
  <si>
    <t>- Uso de la plantilla desde Google Drive</t>
  </si>
  <si>
    <t>- Uso de plantilla con salidas a bolsas reciente (IPOs) o empresas con pocos años fiscales publicados</t>
  </si>
  <si>
    <r>
      <t>- Hoja 1</t>
    </r>
    <r>
      <rPr>
        <b/>
        <sz val="12"/>
        <color theme="3"/>
        <rFont val="Ebrima"/>
      </rPr>
      <t>.IS</t>
    </r>
    <r>
      <rPr>
        <sz val="12"/>
        <color theme="3"/>
        <rFont val="Ebrima"/>
      </rPr>
      <t>: Hemos añadido mensajes de advertencia en caso de que el separador decimal sea incorrecto, o que los datos fiscales más recientes estén en la columna incorrecta</t>
    </r>
  </si>
  <si>
    <t>Depreciation*</t>
  </si>
  <si>
    <t>Comprobaciones datos TIKR</t>
  </si>
  <si>
    <t>Resultado</t>
  </si>
  <si>
    <t>FALSO = OK; Verdadero = Problema</t>
  </si>
  <si>
    <t>Último año fiscal en columna incorrecta</t>
  </si>
  <si>
    <t>Separador decimal incorrecto</t>
  </si>
  <si>
    <t>Datos trimestrales en Valuation</t>
  </si>
  <si>
    <t>Error a mostrar</t>
  </si>
  <si>
    <t>Comentario</t>
  </si>
  <si>
    <t>Error: Datos fiscales incorrectos 
- El año fiscal más reciente debe estar en la columna 'K'
- Revisa el vídeotutorial Sesión 13 - Uso de plantilla con IPOs recientes o empresas con pocos años fiscales</t>
  </si>
  <si>
    <t>Error: Separador decimal incorrecto
- Asegúrate de usar el navegador Chrome o Edge para copiar datos desde TIKR
- Revisa el vídeotutorial Sesión 13 - Solución problema frecuente: Separador decimal (ERROR #VALOR)</t>
  </si>
  <si>
    <t>Error: Datos trimestrales en pestaña 10.TIKR_Val
- Antes de copiar los datos, debes pinchar en el botón "Annual" de la pestaña "Valuation" de TIKR</t>
  </si>
  <si>
    <r>
      <t>- Hoja 4</t>
    </r>
    <r>
      <rPr>
        <b/>
        <sz val="12"/>
        <color theme="3"/>
        <rFont val="Ebrima"/>
      </rPr>
      <t>.Valoración</t>
    </r>
    <r>
      <rPr>
        <sz val="12"/>
        <color theme="3"/>
        <rFont val="Ebrima"/>
      </rPr>
      <t>: cálculo del market cap histórico actualizado para hacerlo compatible con cotizaciones de ADRs (NYSE:TSM, NYSE:NVO, OTC:LVMUY...)</t>
    </r>
  </si>
  <si>
    <t>Recordatorio...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</si>
</sst>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_-[$€-2]\ * #,##0_-;\-[$€-2]\ * #,##0_-;_-[$€-2]\ * &quot;-&quot;??_-;_-@_-"/>
    <numFmt numFmtId="166" formatCode="#,##0.0"/>
    <numFmt numFmtId="167" formatCode="#,##0;[Red]\(#,##0\)"/>
    <numFmt numFmtId="168" formatCode="#,##0.00;[Red]\(#,##0.00\)"/>
    <numFmt numFmtId="169" formatCode="0.0%"/>
    <numFmt numFmtId="170" formatCode="#,##0.0;\(#,##0.0\)"/>
  </numFmts>
  <fonts count="24" x14ac:knownFonts="1">
    <font>
      <sz val="11"/>
      <color theme="1"/>
      <name val="Calibri"/>
      <family val="2"/>
      <scheme val="minor"/>
    </font>
    <font>
      <sz val="11"/>
      <color theme="1"/>
      <name val="Calibri"/>
      <family val="2"/>
      <scheme val="minor"/>
    </font>
    <font>
      <sz val="9"/>
      <color indexed="81"/>
      <name val="Tahoma"/>
      <family val="2"/>
    </font>
    <font>
      <b/>
      <sz val="9"/>
      <color indexed="81"/>
      <name val="Tahoma"/>
      <family val="2"/>
    </font>
    <font>
      <sz val="9"/>
      <color rgb="FF000000"/>
      <name val="Tahoma"/>
      <family val="2"/>
    </font>
    <font>
      <sz val="12"/>
      <color theme="1"/>
      <name val="Ebrima"/>
    </font>
    <font>
      <b/>
      <sz val="12"/>
      <color theme="0"/>
      <name val="Ebrima"/>
    </font>
    <font>
      <b/>
      <sz val="12"/>
      <color theme="3"/>
      <name val="Ebrima"/>
    </font>
    <font>
      <sz val="12"/>
      <color theme="3"/>
      <name val="Ebrima"/>
    </font>
    <font>
      <sz val="40"/>
      <color theme="4"/>
      <name val="Ebrima"/>
    </font>
    <font>
      <b/>
      <sz val="12"/>
      <color theme="1"/>
      <name val="Ebrima"/>
    </font>
    <font>
      <b/>
      <sz val="12"/>
      <color theme="9" tint="-0.249977111117893"/>
      <name val="Ebrima"/>
    </font>
    <font>
      <b/>
      <sz val="12"/>
      <name val="Ebrima"/>
    </font>
    <font>
      <b/>
      <i/>
      <sz val="12"/>
      <color theme="1"/>
      <name val="Ebrima"/>
    </font>
    <font>
      <sz val="12"/>
      <color theme="4" tint="-0.249977111117893"/>
      <name val="Ebrima"/>
    </font>
    <font>
      <i/>
      <sz val="12"/>
      <color theme="3"/>
      <name val="Ebrima"/>
    </font>
    <font>
      <b/>
      <sz val="14"/>
      <color theme="3"/>
      <name val="Ebrima"/>
    </font>
    <font>
      <b/>
      <sz val="14"/>
      <color theme="9" tint="-0.249977111117893"/>
      <name val="Ebrima"/>
    </font>
    <font>
      <b/>
      <i/>
      <sz val="12"/>
      <color theme="3"/>
      <name val="Ebrima"/>
    </font>
    <font>
      <b/>
      <sz val="11"/>
      <color theme="1"/>
      <name val="Calibri"/>
      <family val="2"/>
      <scheme val="minor"/>
    </font>
    <font>
      <sz val="12"/>
      <color rgb="FFFF0000"/>
      <name val="Ebrima"/>
    </font>
    <font>
      <b/>
      <sz val="16"/>
      <color theme="0"/>
      <name val="Ebrima"/>
    </font>
    <font>
      <b/>
      <sz val="12"/>
      <color theme="9" tint="-0.24994659260841701"/>
      <name val="Ebrima"/>
    </font>
    <font>
      <b/>
      <sz val="11"/>
      <color rgb="FFFF0000"/>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0"/>
        <bgColor theme="4" tint="0.79998168889431442"/>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8" tint="0.79998168889431442"/>
        <bgColor indexed="64"/>
      </patternFill>
    </fill>
  </fills>
  <borders count="54">
    <border>
      <left/>
      <right/>
      <top/>
      <bottom/>
      <diagonal/>
    </border>
    <border>
      <left/>
      <right/>
      <top style="thin">
        <color theme="4"/>
      </top>
      <bottom/>
      <diagonal/>
    </border>
    <border>
      <left style="thin">
        <color theme="3" tint="0.39997558519241921"/>
      </left>
      <right/>
      <top/>
      <bottom/>
      <diagonal/>
    </border>
    <border>
      <left/>
      <right/>
      <top/>
      <bottom style="thin">
        <color theme="4"/>
      </bottom>
      <diagonal/>
    </border>
    <border>
      <left style="thin">
        <color theme="4"/>
      </left>
      <right/>
      <top/>
      <bottom/>
      <diagonal/>
    </border>
    <border>
      <left style="thin">
        <color theme="4"/>
      </left>
      <right/>
      <top/>
      <bottom style="thin">
        <color theme="4"/>
      </bottom>
      <diagonal/>
    </border>
    <border>
      <left style="thin">
        <color theme="3"/>
      </left>
      <right/>
      <top/>
      <bottom/>
      <diagonal/>
    </border>
    <border>
      <left/>
      <right style="thin">
        <color theme="4"/>
      </right>
      <top/>
      <bottom/>
      <diagonal/>
    </border>
    <border>
      <left style="thin">
        <color theme="3"/>
      </left>
      <right/>
      <top style="thin">
        <color theme="3"/>
      </top>
      <bottom/>
      <diagonal/>
    </border>
    <border>
      <left/>
      <right/>
      <top style="thin">
        <color theme="3"/>
      </top>
      <bottom/>
      <diagonal/>
    </border>
    <border>
      <left style="thin">
        <color theme="3"/>
      </left>
      <right style="thin">
        <color theme="3"/>
      </right>
      <top style="thin">
        <color theme="3"/>
      </top>
      <bottom/>
      <diagonal/>
    </border>
    <border>
      <left style="thin">
        <color theme="3"/>
      </left>
      <right style="thin">
        <color theme="3"/>
      </right>
      <top/>
      <bottom/>
      <diagonal/>
    </border>
    <border>
      <left style="thin">
        <color theme="3"/>
      </left>
      <right style="thin">
        <color theme="3"/>
      </right>
      <top/>
      <bottom style="thin">
        <color theme="3"/>
      </bottom>
      <diagonal/>
    </border>
    <border>
      <left/>
      <right/>
      <top/>
      <bottom style="thin">
        <color indexed="64"/>
      </bottom>
      <diagonal/>
    </border>
    <border>
      <left style="thin">
        <color theme="3"/>
      </left>
      <right/>
      <top/>
      <bottom style="thin">
        <color theme="4"/>
      </bottom>
      <diagonal/>
    </border>
    <border>
      <left/>
      <right style="thin">
        <color theme="4"/>
      </right>
      <top/>
      <bottom style="thin">
        <color theme="4"/>
      </bottom>
      <diagonal/>
    </border>
    <border>
      <left style="thin">
        <color theme="4"/>
      </left>
      <right style="thin">
        <color theme="4"/>
      </right>
      <top/>
      <bottom/>
      <diagonal/>
    </border>
    <border>
      <left style="thin">
        <color theme="4"/>
      </left>
      <right style="thin">
        <color theme="4"/>
      </right>
      <top/>
      <bottom style="thin">
        <color theme="4"/>
      </bottom>
      <diagonal/>
    </border>
    <border>
      <left style="thin">
        <color theme="4"/>
      </left>
      <right style="thin">
        <color theme="3"/>
      </right>
      <top style="thin">
        <color theme="4"/>
      </top>
      <bottom style="thin">
        <color theme="4"/>
      </bottom>
      <diagonal/>
    </border>
    <border>
      <left style="medium">
        <color theme="4"/>
      </left>
      <right/>
      <top style="medium">
        <color theme="4"/>
      </top>
      <bottom style="medium">
        <color theme="4"/>
      </bottom>
      <diagonal/>
    </border>
    <border>
      <left/>
      <right/>
      <top style="medium">
        <color theme="4"/>
      </top>
      <bottom style="medium">
        <color theme="4"/>
      </bottom>
      <diagonal/>
    </border>
    <border>
      <left style="thin">
        <color theme="4"/>
      </left>
      <right style="medium">
        <color theme="4"/>
      </right>
      <top style="medium">
        <color theme="4"/>
      </top>
      <bottom style="medium">
        <color theme="4"/>
      </bottom>
      <diagonal/>
    </border>
    <border>
      <left style="thick">
        <color theme="9" tint="-0.24994659260841701"/>
      </left>
      <right style="thick">
        <color theme="9" tint="-0.24994659260841701"/>
      </right>
      <top style="thick">
        <color theme="9" tint="-0.24994659260841701"/>
      </top>
      <bottom style="thick">
        <color theme="9" tint="-0.24994659260841701"/>
      </bottom>
      <diagonal/>
    </border>
    <border>
      <left style="thick">
        <color theme="9" tint="-0.24994659260841701"/>
      </left>
      <right style="thick">
        <color theme="9" tint="-0.24994659260841701"/>
      </right>
      <top/>
      <bottom/>
      <diagonal/>
    </border>
    <border>
      <left style="thick">
        <color theme="9" tint="-0.24994659260841701"/>
      </left>
      <right style="thick">
        <color theme="9" tint="-0.24994659260841701"/>
      </right>
      <top/>
      <bottom style="thick">
        <color theme="9" tint="-0.24994659260841701"/>
      </bottom>
      <diagonal/>
    </border>
    <border>
      <left style="thick">
        <color theme="9" tint="-0.24994659260841701"/>
      </left>
      <right/>
      <top style="thick">
        <color theme="9" tint="-0.24994659260841701"/>
      </top>
      <bottom style="thick">
        <color theme="9" tint="-0.24994659260841701"/>
      </bottom>
      <diagonal/>
    </border>
    <border>
      <left/>
      <right/>
      <top style="thick">
        <color theme="9" tint="-0.24994659260841701"/>
      </top>
      <bottom style="thick">
        <color theme="9" tint="-0.24994659260841701"/>
      </bottom>
      <diagonal/>
    </border>
    <border>
      <left/>
      <right style="thick">
        <color theme="9" tint="-0.24994659260841701"/>
      </right>
      <top style="thick">
        <color theme="9" tint="-0.24994659260841701"/>
      </top>
      <bottom style="thick">
        <color theme="9" tint="-0.24994659260841701"/>
      </bottom>
      <diagonal/>
    </border>
    <border>
      <left style="thin">
        <color theme="4"/>
      </left>
      <right/>
      <top style="thin">
        <color theme="4"/>
      </top>
      <bottom/>
      <diagonal/>
    </border>
    <border>
      <left/>
      <right style="thin">
        <color theme="4"/>
      </right>
      <top style="thin">
        <color theme="4"/>
      </top>
      <bottom/>
      <diagonal/>
    </border>
    <border>
      <left/>
      <right/>
      <top style="thin">
        <color theme="8"/>
      </top>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style="medium">
        <color theme="4"/>
      </top>
      <bottom style="medium">
        <color theme="4"/>
      </bottom>
      <diagonal/>
    </border>
    <border>
      <left style="thick">
        <color theme="4"/>
      </left>
      <right style="thick">
        <color theme="4"/>
      </right>
      <top/>
      <bottom style="thick">
        <color theme="4"/>
      </bottom>
      <diagonal/>
    </border>
    <border>
      <left style="thin">
        <color theme="4"/>
      </left>
      <right style="thin">
        <color theme="4"/>
      </right>
      <top style="thin">
        <color theme="4"/>
      </top>
      <bottom/>
      <diagonal/>
    </border>
    <border>
      <left style="thick">
        <color theme="9" tint="-0.24994659260841701"/>
      </left>
      <right/>
      <top/>
      <bottom/>
      <diagonal/>
    </border>
    <border>
      <left style="thick">
        <color theme="9" tint="-0.24994659260841701"/>
      </left>
      <right style="thick">
        <color theme="9" tint="-0.24994659260841701"/>
      </right>
      <top style="thick">
        <color theme="9" tint="-0.24994659260841701"/>
      </top>
      <bottom/>
      <diagonal/>
    </border>
    <border>
      <left style="thin">
        <color theme="4"/>
      </left>
      <right/>
      <top style="thin">
        <color theme="4"/>
      </top>
      <bottom style="thin">
        <color theme="4"/>
      </bottom>
      <diagonal/>
    </border>
    <border>
      <left style="thick">
        <color theme="9" tint="-0.24994659260841701"/>
      </left>
      <right/>
      <top style="thick">
        <color theme="9" tint="-0.24994659260841701"/>
      </top>
      <bottom/>
      <diagonal/>
    </border>
    <border>
      <left/>
      <right/>
      <top style="thick">
        <color theme="9" tint="-0.24994659260841701"/>
      </top>
      <bottom/>
      <diagonal/>
    </border>
    <border>
      <left/>
      <right style="thick">
        <color theme="9" tint="-0.24994659260841701"/>
      </right>
      <top style="thick">
        <color theme="9" tint="-0.24994659260841701"/>
      </top>
      <bottom/>
      <diagonal/>
    </border>
    <border>
      <left style="thick">
        <color theme="9" tint="-0.24994659260841701"/>
      </left>
      <right/>
      <top/>
      <bottom style="thick">
        <color theme="9" tint="-0.24994659260841701"/>
      </bottom>
      <diagonal/>
    </border>
    <border>
      <left/>
      <right/>
      <top/>
      <bottom style="thick">
        <color theme="9" tint="-0.24994659260841701"/>
      </bottom>
      <diagonal/>
    </border>
    <border>
      <left/>
      <right style="thick">
        <color theme="9" tint="-0.24994659260841701"/>
      </right>
      <top/>
      <bottom style="thick">
        <color theme="9" tint="-0.24994659260841701"/>
      </bottom>
      <diagonal/>
    </border>
    <border>
      <left style="thin">
        <color theme="3"/>
      </left>
      <right style="thin">
        <color theme="4"/>
      </right>
      <top/>
      <bottom/>
      <diagonal/>
    </border>
    <border>
      <left style="thin">
        <color theme="3"/>
      </left>
      <right style="thin">
        <color theme="4"/>
      </right>
      <top/>
      <bottom style="thin">
        <color theme="4"/>
      </bottom>
      <diagonal/>
    </border>
    <border>
      <left style="thin">
        <color theme="3" tint="0.39997558519241921"/>
      </left>
      <right/>
      <top style="thin">
        <color theme="4"/>
      </top>
      <bottom/>
      <diagonal/>
    </border>
    <border>
      <left/>
      <right/>
      <top style="thin">
        <color theme="4"/>
      </top>
      <bottom style="thin">
        <color theme="4"/>
      </bottom>
      <diagonal/>
    </border>
    <border>
      <left/>
      <right style="thin">
        <color theme="3"/>
      </right>
      <top style="thin">
        <color theme="3"/>
      </top>
      <bottom/>
      <diagonal/>
    </border>
    <border>
      <left/>
      <right style="thin">
        <color theme="3"/>
      </right>
      <top/>
      <bottom style="thin">
        <color theme="3"/>
      </bottom>
      <diagonal/>
    </border>
    <border>
      <left style="thin">
        <color theme="3"/>
      </left>
      <right/>
      <top/>
      <bottom style="thin">
        <color theme="3"/>
      </bottom>
      <diagonal/>
    </border>
    <border>
      <left/>
      <right/>
      <top/>
      <bottom style="thin">
        <color theme="3"/>
      </bottom>
      <diagonal/>
    </border>
    <border>
      <left style="thick">
        <color theme="9" tint="-0.24994659260841701"/>
      </left>
      <right/>
      <top/>
      <bottom style="thin">
        <color theme="3"/>
      </bottom>
      <diagonal/>
    </border>
  </borders>
  <cellStyleXfs count="2">
    <xf numFmtId="0" fontId="0" fillId="0" borderId="0"/>
    <xf numFmtId="9" fontId="1" fillId="0" borderId="0" applyFont="0" applyFill="0" applyBorder="0" applyAlignment="0" applyProtection="0"/>
  </cellStyleXfs>
  <cellXfs count="316">
    <xf numFmtId="0" fontId="0" fillId="0" borderId="0" xfId="0"/>
    <xf numFmtId="0" fontId="0" fillId="2" borderId="0" xfId="0" applyFill="1" applyAlignment="1">
      <alignment vertical="center"/>
    </xf>
    <xf numFmtId="0" fontId="0" fillId="0" borderId="0" xfId="0" applyAlignment="1">
      <alignment vertical="center"/>
    </xf>
    <xf numFmtId="0" fontId="0" fillId="0" borderId="0" xfId="0" applyAlignment="1">
      <alignment horizontal="center"/>
    </xf>
    <xf numFmtId="0" fontId="5" fillId="0" borderId="0" xfId="0" applyFont="1"/>
    <xf numFmtId="0" fontId="5" fillId="0" borderId="0" xfId="0" applyFont="1" applyAlignment="1">
      <alignment horizontal="center"/>
    </xf>
    <xf numFmtId="0" fontId="5" fillId="0" borderId="0" xfId="0" applyFont="1" applyAlignment="1">
      <alignment vertical="center"/>
    </xf>
    <xf numFmtId="0" fontId="5" fillId="0" borderId="0" xfId="0" applyFont="1" applyAlignment="1">
      <alignment horizontal="center" vertical="center"/>
    </xf>
    <xf numFmtId="0" fontId="6" fillId="5" borderId="0" xfId="0" applyFont="1" applyFill="1" applyAlignment="1">
      <alignment horizontal="center" vertical="center"/>
    </xf>
    <xf numFmtId="3" fontId="7" fillId="2" borderId="0" xfId="0" applyNumberFormat="1" applyFont="1" applyFill="1" applyAlignment="1">
      <alignment horizontal="center" vertical="center"/>
    </xf>
    <xf numFmtId="9" fontId="8" fillId="2" borderId="0" xfId="1" applyFont="1" applyFill="1" applyBorder="1" applyAlignment="1">
      <alignment horizontal="center" vertical="center"/>
    </xf>
    <xf numFmtId="3" fontId="8" fillId="2" borderId="0" xfId="0" applyNumberFormat="1" applyFont="1" applyFill="1" applyAlignment="1">
      <alignment horizontal="center" vertical="center"/>
    </xf>
    <xf numFmtId="0" fontId="8" fillId="0" borderId="0" xfId="0" applyFont="1" applyAlignment="1">
      <alignment horizontal="center" vertical="center"/>
    </xf>
    <xf numFmtId="3" fontId="8" fillId="0" borderId="0" xfId="0" applyNumberFormat="1" applyFont="1" applyAlignment="1">
      <alignment horizontal="center" vertical="center"/>
    </xf>
    <xf numFmtId="4" fontId="8" fillId="0" borderId="0" xfId="0" applyNumberFormat="1" applyFont="1" applyAlignment="1">
      <alignment horizontal="center" vertical="center"/>
    </xf>
    <xf numFmtId="3" fontId="8" fillId="6" borderId="0" xfId="0" applyNumberFormat="1" applyFont="1" applyFill="1" applyAlignment="1">
      <alignment horizontal="center" vertical="center"/>
    </xf>
    <xf numFmtId="0" fontId="6" fillId="2" borderId="0" xfId="0" applyFont="1" applyFill="1" applyAlignment="1">
      <alignment horizontal="center" vertical="center"/>
    </xf>
    <xf numFmtId="0" fontId="9" fillId="0" borderId="0" xfId="0" applyFont="1" applyAlignment="1">
      <alignment horizontal="left" vertical="center"/>
    </xf>
    <xf numFmtId="0" fontId="8" fillId="0" borderId="0" xfId="0" applyFont="1" applyAlignment="1">
      <alignment horizontal="left" vertical="center" indent="1"/>
    </xf>
    <xf numFmtId="0" fontId="0" fillId="0" borderId="0" xfId="0" applyAlignment="1">
      <alignment horizontal="left" indent="1"/>
    </xf>
    <xf numFmtId="0" fontId="5" fillId="0" borderId="0" xfId="0" applyFont="1" applyAlignment="1">
      <alignment horizontal="left" indent="1"/>
    </xf>
    <xf numFmtId="0" fontId="5" fillId="2" borderId="0" xfId="0" applyFont="1" applyFill="1" applyAlignment="1">
      <alignment horizontal="center"/>
    </xf>
    <xf numFmtId="9" fontId="8" fillId="0" borderId="0" xfId="1" applyFont="1" applyBorder="1" applyAlignment="1">
      <alignment horizontal="center" vertical="center"/>
    </xf>
    <xf numFmtId="0" fontId="8" fillId="2" borderId="3" xfId="0" applyFont="1" applyFill="1" applyBorder="1" applyAlignment="1">
      <alignment horizontal="left" vertical="center" indent="1"/>
    </xf>
    <xf numFmtId="0" fontId="5" fillId="0" borderId="0" xfId="0" applyFont="1" applyAlignment="1">
      <alignment horizontal="left" vertical="center"/>
    </xf>
    <xf numFmtId="0" fontId="5" fillId="0" borderId="0" xfId="0" applyFont="1" applyAlignment="1">
      <alignment horizontal="left" vertical="center" indent="1"/>
    </xf>
    <xf numFmtId="3" fontId="8" fillId="2" borderId="0" xfId="1" applyNumberFormat="1" applyFont="1" applyFill="1" applyBorder="1" applyAlignment="1">
      <alignment horizontal="center" vertical="center"/>
    </xf>
    <xf numFmtId="0" fontId="5" fillId="2" borderId="0" xfId="0" applyFont="1" applyFill="1" applyAlignment="1">
      <alignment vertical="center"/>
    </xf>
    <xf numFmtId="2" fontId="12" fillId="2" borderId="0" xfId="0" applyNumberFormat="1" applyFont="1" applyFill="1" applyAlignment="1">
      <alignment vertical="center"/>
    </xf>
    <xf numFmtId="0" fontId="5" fillId="2" borderId="0" xfId="0" applyFont="1" applyFill="1" applyAlignment="1">
      <alignment horizontal="center" vertical="center" wrapText="1"/>
    </xf>
    <xf numFmtId="0" fontId="10" fillId="2" borderId="0" xfId="0" applyFont="1" applyFill="1" applyAlignment="1">
      <alignment vertical="center"/>
    </xf>
    <xf numFmtId="1" fontId="12" fillId="2" borderId="0" xfId="0" applyNumberFormat="1" applyFont="1" applyFill="1" applyAlignment="1">
      <alignment horizontal="center" vertical="center"/>
    </xf>
    <xf numFmtId="0" fontId="5" fillId="2" borderId="0" xfId="0" applyFont="1" applyFill="1" applyAlignment="1">
      <alignment horizontal="left" vertical="center"/>
    </xf>
    <xf numFmtId="2" fontId="10" fillId="2" borderId="0" xfId="0" applyNumberFormat="1" applyFont="1" applyFill="1" applyAlignment="1">
      <alignment horizontal="center" vertical="center" wrapText="1"/>
    </xf>
    <xf numFmtId="0" fontId="10" fillId="2" borderId="0" xfId="0" applyFont="1" applyFill="1" applyAlignment="1">
      <alignment horizontal="left" vertical="center"/>
    </xf>
    <xf numFmtId="1" fontId="10" fillId="2" borderId="0" xfId="0" applyNumberFormat="1" applyFont="1" applyFill="1" applyAlignment="1">
      <alignment horizontal="center" vertical="center" wrapText="1"/>
    </xf>
    <xf numFmtId="165" fontId="13" fillId="2" borderId="0" xfId="0" applyNumberFormat="1" applyFont="1" applyFill="1" applyAlignment="1">
      <alignment horizontal="center" vertical="center" wrapText="1"/>
    </xf>
    <xf numFmtId="0" fontId="6" fillId="4" borderId="1" xfId="0" applyFont="1" applyFill="1" applyBorder="1" applyAlignment="1">
      <alignment horizontal="left" vertical="center"/>
    </xf>
    <xf numFmtId="0" fontId="6" fillId="4" borderId="0" xfId="0" applyFont="1" applyFill="1" applyAlignment="1">
      <alignment horizontal="left" vertical="center"/>
    </xf>
    <xf numFmtId="2" fontId="8" fillId="2" borderId="0" xfId="0" applyNumberFormat="1" applyFont="1" applyFill="1" applyAlignment="1">
      <alignment horizontal="left" vertical="center" indent="2"/>
    </xf>
    <xf numFmtId="1" fontId="8" fillId="2" borderId="0" xfId="0" applyNumberFormat="1" applyFont="1" applyFill="1" applyAlignment="1">
      <alignment horizontal="left" vertical="center"/>
    </xf>
    <xf numFmtId="1" fontId="7" fillId="2" borderId="0" xfId="0" applyNumberFormat="1" applyFont="1" applyFill="1" applyAlignment="1">
      <alignment horizontal="left" vertical="center"/>
    </xf>
    <xf numFmtId="2" fontId="8" fillId="2" borderId="0" xfId="0" applyNumberFormat="1" applyFont="1" applyFill="1" applyAlignment="1">
      <alignment horizontal="left" vertical="center" wrapText="1"/>
    </xf>
    <xf numFmtId="2" fontId="7" fillId="2" borderId="0" xfId="0" applyNumberFormat="1" applyFont="1" applyFill="1" applyAlignment="1">
      <alignment horizontal="left" vertical="center" wrapText="1"/>
    </xf>
    <xf numFmtId="9" fontId="8" fillId="2" borderId="0" xfId="1" applyFont="1" applyFill="1" applyBorder="1" applyAlignment="1">
      <alignment horizontal="left" vertical="center" wrapText="1"/>
    </xf>
    <xf numFmtId="0" fontId="8" fillId="2" borderId="0" xfId="0" applyFont="1" applyFill="1" applyAlignment="1">
      <alignment horizontal="left" vertical="center" wrapText="1"/>
    </xf>
    <xf numFmtId="9" fontId="7" fillId="2" borderId="0" xfId="1" applyFont="1" applyFill="1" applyBorder="1" applyAlignment="1">
      <alignment horizontal="left" vertical="center" wrapText="1"/>
    </xf>
    <xf numFmtId="2" fontId="7" fillId="2" borderId="0" xfId="0" applyNumberFormat="1" applyFont="1" applyFill="1" applyAlignment="1">
      <alignment horizontal="left" vertical="center"/>
    </xf>
    <xf numFmtId="0" fontId="8" fillId="2" borderId="0" xfId="0" applyFont="1" applyFill="1" applyAlignment="1">
      <alignment horizontal="left" vertical="center"/>
    </xf>
    <xf numFmtId="0" fontId="8" fillId="2" borderId="0" xfId="0" applyFont="1" applyFill="1" applyAlignment="1">
      <alignment vertical="center"/>
    </xf>
    <xf numFmtId="0" fontId="8" fillId="0" borderId="0" xfId="0" applyFont="1" applyAlignment="1">
      <alignment vertical="center"/>
    </xf>
    <xf numFmtId="0" fontId="8" fillId="0" borderId="0" xfId="0" applyFont="1" applyAlignment="1">
      <alignment horizontal="left" vertical="center"/>
    </xf>
    <xf numFmtId="0" fontId="5" fillId="2" borderId="0" xfId="0" applyFont="1" applyFill="1" applyAlignment="1">
      <alignment horizontal="left" vertical="center" indent="1"/>
    </xf>
    <xf numFmtId="0" fontId="8" fillId="0" borderId="0" xfId="0" quotePrefix="1" applyFont="1" applyAlignment="1">
      <alignment horizontal="left" indent="1"/>
    </xf>
    <xf numFmtId="9" fontId="8" fillId="0" borderId="4" xfId="1" applyFont="1" applyFill="1" applyBorder="1" applyAlignment="1">
      <alignment horizontal="center" vertical="center"/>
    </xf>
    <xf numFmtId="0" fontId="6" fillId="4" borderId="0" xfId="0" applyFont="1" applyFill="1" applyAlignment="1">
      <alignment horizontal="center" vertical="center"/>
    </xf>
    <xf numFmtId="3" fontId="7" fillId="6" borderId="0" xfId="0" applyNumberFormat="1" applyFont="1" applyFill="1" applyAlignment="1">
      <alignment horizontal="center" vertical="center"/>
    </xf>
    <xf numFmtId="0" fontId="6" fillId="4" borderId="8" xfId="0" applyFont="1" applyFill="1" applyBorder="1" applyAlignment="1">
      <alignment horizontal="left" vertical="center" indent="1"/>
    </xf>
    <xf numFmtId="0" fontId="6" fillId="4" borderId="9" xfId="0" applyFont="1" applyFill="1" applyBorder="1" applyAlignment="1">
      <alignment horizontal="center" vertical="center"/>
    </xf>
    <xf numFmtId="0" fontId="6" fillId="5" borderId="9" xfId="0" applyFont="1" applyFill="1" applyBorder="1" applyAlignment="1">
      <alignment horizontal="center" vertical="center"/>
    </xf>
    <xf numFmtId="0" fontId="8" fillId="0" borderId="6" xfId="0" applyFont="1" applyBorder="1" applyAlignment="1">
      <alignment horizontal="left" vertical="center" indent="1"/>
    </xf>
    <xf numFmtId="9" fontId="8" fillId="0" borderId="0" xfId="1" applyFont="1" applyFill="1" applyBorder="1" applyAlignment="1">
      <alignment horizontal="center" vertical="center"/>
    </xf>
    <xf numFmtId="0" fontId="6" fillId="5" borderId="10" xfId="0" applyFont="1" applyFill="1" applyBorder="1" applyAlignment="1">
      <alignment horizontal="center" vertical="center" wrapText="1"/>
    </xf>
    <xf numFmtId="0" fontId="14" fillId="6" borderId="11" xfId="0" applyFont="1" applyFill="1" applyBorder="1" applyAlignment="1">
      <alignment vertical="center"/>
    </xf>
    <xf numFmtId="0" fontId="14" fillId="3" borderId="11" xfId="0" applyFont="1" applyFill="1" applyBorder="1" applyAlignment="1">
      <alignment vertical="center"/>
    </xf>
    <xf numFmtId="0" fontId="14" fillId="3" borderId="12" xfId="0" applyFont="1" applyFill="1" applyBorder="1" applyAlignment="1">
      <alignment vertical="center"/>
    </xf>
    <xf numFmtId="0" fontId="8" fillId="2" borderId="0" xfId="0" applyFont="1" applyFill="1" applyAlignment="1">
      <alignment horizontal="left" vertical="center" indent="1"/>
    </xf>
    <xf numFmtId="4" fontId="8" fillId="0" borderId="0" xfId="1" applyNumberFormat="1" applyFont="1" applyBorder="1" applyAlignment="1">
      <alignment horizontal="center" vertical="center"/>
    </xf>
    <xf numFmtId="0" fontId="6" fillId="0" borderId="0" xfId="0" applyFont="1" applyAlignment="1">
      <alignment horizontal="center" vertical="center" wrapText="1"/>
    </xf>
    <xf numFmtId="164" fontId="5" fillId="0" borderId="0" xfId="0" applyNumberFormat="1" applyFont="1" applyAlignment="1">
      <alignment horizontal="center" vertical="center"/>
    </xf>
    <xf numFmtId="166" fontId="8" fillId="2" borderId="0" xfId="1" applyNumberFormat="1" applyFont="1" applyFill="1" applyBorder="1" applyAlignment="1">
      <alignment horizontal="center" vertical="center"/>
    </xf>
    <xf numFmtId="0" fontId="7" fillId="0" borderId="0" xfId="0" applyFont="1" applyAlignment="1">
      <alignment horizontal="left" vertical="center" indent="1"/>
    </xf>
    <xf numFmtId="4" fontId="0" fillId="0" borderId="0" xfId="0" applyNumberFormat="1" applyAlignment="1">
      <alignment horizontal="center"/>
    </xf>
    <xf numFmtId="0" fontId="19" fillId="0" borderId="0" xfId="0" applyFont="1"/>
    <xf numFmtId="0" fontId="19" fillId="0" borderId="0" xfId="0" applyFont="1" applyAlignment="1">
      <alignment horizontal="center"/>
    </xf>
    <xf numFmtId="14" fontId="19" fillId="0" borderId="0" xfId="0" applyNumberFormat="1" applyFont="1" applyAlignment="1">
      <alignment horizontal="center"/>
    </xf>
    <xf numFmtId="0" fontId="19" fillId="8" borderId="0" xfId="0" applyFont="1" applyFill="1"/>
    <xf numFmtId="0" fontId="19" fillId="0" borderId="0" xfId="0" applyFont="1" applyProtection="1">
      <protection locked="0"/>
    </xf>
    <xf numFmtId="0" fontId="19" fillId="0" borderId="0" xfId="0" applyFont="1" applyAlignment="1" applyProtection="1">
      <alignment horizontal="center"/>
      <protection locked="0"/>
    </xf>
    <xf numFmtId="14" fontId="19" fillId="0" borderId="0" xfId="0" applyNumberFormat="1" applyFont="1" applyAlignment="1" applyProtection="1">
      <alignment horizontal="center"/>
      <protection locked="0"/>
    </xf>
    <xf numFmtId="0" fontId="0" fillId="0" borderId="0" xfId="0" applyProtection="1">
      <protection locked="0"/>
    </xf>
    <xf numFmtId="0" fontId="0" fillId="0" borderId="0" xfId="0" applyAlignment="1" applyProtection="1">
      <alignment horizontal="center"/>
      <protection locked="0"/>
    </xf>
    <xf numFmtId="4" fontId="0" fillId="0" borderId="0" xfId="0" applyNumberFormat="1" applyAlignment="1" applyProtection="1">
      <alignment horizontal="center"/>
      <protection locked="0"/>
    </xf>
    <xf numFmtId="167" fontId="7" fillId="2" borderId="0" xfId="0" applyNumberFormat="1" applyFont="1" applyFill="1" applyAlignment="1">
      <alignment horizontal="center" vertical="center"/>
    </xf>
    <xf numFmtId="167" fontId="8" fillId="6" borderId="0" xfId="0" applyNumberFormat="1" applyFont="1" applyFill="1" applyAlignment="1">
      <alignment horizontal="center" vertical="center"/>
    </xf>
    <xf numFmtId="167" fontId="8" fillId="2" borderId="0" xfId="0" applyNumberFormat="1" applyFont="1" applyFill="1" applyAlignment="1">
      <alignment horizontal="center" vertical="center"/>
    </xf>
    <xf numFmtId="167" fontId="7" fillId="6" borderId="0" xfId="0" applyNumberFormat="1" applyFont="1" applyFill="1" applyAlignment="1">
      <alignment horizontal="center" vertical="center"/>
    </xf>
    <xf numFmtId="167" fontId="8" fillId="0" borderId="0" xfId="0" applyNumberFormat="1" applyFont="1" applyAlignment="1">
      <alignment horizontal="center" vertical="center"/>
    </xf>
    <xf numFmtId="167" fontId="7" fillId="0" borderId="0" xfId="0" applyNumberFormat="1" applyFont="1" applyAlignment="1">
      <alignment horizontal="center" vertical="center"/>
    </xf>
    <xf numFmtId="167" fontId="8" fillId="2" borderId="0" xfId="1" applyNumberFormat="1" applyFont="1" applyFill="1" applyBorder="1" applyAlignment="1">
      <alignment horizontal="center" vertical="center"/>
    </xf>
    <xf numFmtId="168" fontId="8" fillId="2" borderId="0" xfId="1" applyNumberFormat="1" applyFont="1" applyFill="1" applyBorder="1" applyAlignment="1">
      <alignment horizontal="center" vertical="center"/>
    </xf>
    <xf numFmtId="168" fontId="8" fillId="2" borderId="7" xfId="1" applyNumberFormat="1" applyFont="1" applyFill="1" applyBorder="1" applyAlignment="1">
      <alignment horizontal="center" vertical="center"/>
    </xf>
    <xf numFmtId="168" fontId="8" fillId="2" borderId="4" xfId="1" applyNumberFormat="1" applyFont="1" applyFill="1" applyBorder="1" applyAlignment="1">
      <alignment horizontal="center" vertical="center"/>
    </xf>
    <xf numFmtId="167" fontId="8" fillId="2" borderId="2" xfId="0" applyNumberFormat="1" applyFont="1" applyFill="1" applyBorder="1" applyAlignment="1">
      <alignment horizontal="center" vertical="center"/>
    </xf>
    <xf numFmtId="167" fontId="8" fillId="2" borderId="3" xfId="1" applyNumberFormat="1" applyFont="1" applyFill="1" applyBorder="1" applyAlignment="1">
      <alignment horizontal="center" vertical="center"/>
    </xf>
    <xf numFmtId="167" fontId="8" fillId="2" borderId="5" xfId="1" applyNumberFormat="1" applyFont="1" applyFill="1" applyBorder="1" applyAlignment="1">
      <alignment horizontal="center" vertical="center"/>
    </xf>
    <xf numFmtId="0" fontId="6" fillId="5" borderId="0" xfId="0" applyFont="1" applyFill="1" applyAlignment="1">
      <alignment horizontal="center" vertical="center" wrapText="1"/>
    </xf>
    <xf numFmtId="164" fontId="8" fillId="0" borderId="0" xfId="1" applyNumberFormat="1" applyFont="1" applyBorder="1" applyAlignment="1">
      <alignment horizontal="center" vertical="center"/>
    </xf>
    <xf numFmtId="0" fontId="8" fillId="0" borderId="0" xfId="0" quotePrefix="1" applyFont="1" applyAlignment="1">
      <alignment horizontal="left" vertical="center" indent="1"/>
    </xf>
    <xf numFmtId="0" fontId="8" fillId="0" borderId="0" xfId="0" quotePrefix="1" applyFont="1" applyAlignment="1">
      <alignment horizontal="left" vertical="center" indent="3"/>
    </xf>
    <xf numFmtId="9" fontId="7" fillId="2" borderId="0" xfId="1" applyFont="1" applyFill="1" applyBorder="1" applyAlignment="1">
      <alignment horizontal="center" vertical="center"/>
    </xf>
    <xf numFmtId="164" fontId="8" fillId="0" borderId="0" xfId="1" applyNumberFormat="1" applyFont="1" applyFill="1" applyBorder="1" applyAlignment="1">
      <alignment horizontal="center" vertical="center"/>
    </xf>
    <xf numFmtId="0" fontId="6" fillId="4" borderId="0" xfId="0" applyFont="1" applyFill="1" applyAlignment="1">
      <alignment horizontal="left" vertical="center" indent="1"/>
    </xf>
    <xf numFmtId="0" fontId="8" fillId="6" borderId="6" xfId="0" applyFont="1" applyFill="1" applyBorder="1" applyAlignment="1">
      <alignment horizontal="left" vertical="center" indent="3"/>
    </xf>
    <xf numFmtId="3" fontId="7" fillId="6" borderId="4" xfId="0" applyNumberFormat="1" applyFont="1" applyFill="1" applyBorder="1" applyAlignment="1">
      <alignment horizontal="center" vertical="center"/>
    </xf>
    <xf numFmtId="9" fontId="8" fillId="2" borderId="4" xfId="1" applyFont="1" applyFill="1" applyBorder="1" applyAlignment="1">
      <alignment horizontal="center" vertical="center"/>
    </xf>
    <xf numFmtId="167" fontId="7" fillId="2" borderId="4" xfId="0" applyNumberFormat="1" applyFont="1" applyFill="1" applyBorder="1" applyAlignment="1">
      <alignment horizontal="center" vertical="center"/>
    </xf>
    <xf numFmtId="167" fontId="8" fillId="6" borderId="4" xfId="0" applyNumberFormat="1" applyFont="1" applyFill="1" applyBorder="1" applyAlignment="1">
      <alignment horizontal="center" vertical="center"/>
    </xf>
    <xf numFmtId="167" fontId="7" fillId="6" borderId="4" xfId="0" applyNumberFormat="1" applyFont="1" applyFill="1" applyBorder="1" applyAlignment="1">
      <alignment horizontal="center" vertical="center"/>
    </xf>
    <xf numFmtId="167" fontId="8" fillId="2" borderId="4" xfId="0" applyNumberFormat="1" applyFont="1" applyFill="1" applyBorder="1" applyAlignment="1">
      <alignment horizontal="center" vertical="center"/>
    </xf>
    <xf numFmtId="3" fontId="8" fillId="6" borderId="4" xfId="0" applyNumberFormat="1" applyFont="1" applyFill="1" applyBorder="1" applyAlignment="1">
      <alignment horizontal="center" vertical="center"/>
    </xf>
    <xf numFmtId="0" fontId="7" fillId="6" borderId="0" xfId="0" applyFont="1" applyFill="1" applyAlignment="1">
      <alignment horizontal="left" vertical="center" indent="1"/>
    </xf>
    <xf numFmtId="3" fontId="7" fillId="2" borderId="7" xfId="0" applyNumberFormat="1" applyFont="1" applyFill="1" applyBorder="1" applyAlignment="1">
      <alignment horizontal="center" vertical="center"/>
    </xf>
    <xf numFmtId="9" fontId="8" fillId="2" borderId="7" xfId="1" applyFont="1" applyFill="1" applyBorder="1" applyAlignment="1">
      <alignment horizontal="center" vertical="center"/>
    </xf>
    <xf numFmtId="0" fontId="7" fillId="2" borderId="0" xfId="0" applyFont="1" applyFill="1" applyAlignment="1">
      <alignment horizontal="left" vertical="center" indent="1"/>
    </xf>
    <xf numFmtId="167" fontId="7" fillId="2" borderId="7" xfId="0" applyNumberFormat="1" applyFont="1" applyFill="1" applyBorder="1" applyAlignment="1">
      <alignment horizontal="center" vertical="center"/>
    </xf>
    <xf numFmtId="0" fontId="8" fillId="6" borderId="0" xfId="0" applyFont="1" applyFill="1" applyAlignment="1">
      <alignment horizontal="left" vertical="center" indent="1"/>
    </xf>
    <xf numFmtId="167" fontId="8" fillId="2" borderId="7" xfId="0" applyNumberFormat="1" applyFont="1" applyFill="1" applyBorder="1" applyAlignment="1">
      <alignment horizontal="center" vertical="center"/>
    </xf>
    <xf numFmtId="3" fontId="8" fillId="2" borderId="7" xfId="0" applyNumberFormat="1" applyFont="1" applyFill="1" applyBorder="1" applyAlignment="1">
      <alignment horizontal="center" vertical="center"/>
    </xf>
    <xf numFmtId="9" fontId="8" fillId="2" borderId="5" xfId="1" applyFont="1" applyFill="1" applyBorder="1" applyAlignment="1">
      <alignment horizontal="center" vertical="center"/>
    </xf>
    <xf numFmtId="9" fontId="8" fillId="2" borderId="3" xfId="1" applyFont="1" applyFill="1" applyBorder="1" applyAlignment="1">
      <alignment horizontal="center" vertical="center"/>
    </xf>
    <xf numFmtId="167" fontId="8" fillId="0" borderId="4" xfId="0" applyNumberFormat="1" applyFont="1" applyBorder="1" applyAlignment="1">
      <alignment horizontal="center" vertical="center"/>
    </xf>
    <xf numFmtId="167" fontId="7" fillId="0" borderId="4" xfId="0" applyNumberFormat="1" applyFont="1" applyBorder="1" applyAlignment="1">
      <alignment horizontal="center" vertical="center"/>
    </xf>
    <xf numFmtId="9" fontId="8" fillId="0" borderId="4" xfId="1" applyFont="1" applyBorder="1" applyAlignment="1">
      <alignment horizontal="center" vertical="center"/>
    </xf>
    <xf numFmtId="3" fontId="8" fillId="0" borderId="4" xfId="0" applyNumberFormat="1" applyFont="1" applyBorder="1" applyAlignment="1">
      <alignment horizontal="center" vertical="center"/>
    </xf>
    <xf numFmtId="167" fontId="8" fillId="0" borderId="7" xfId="0" applyNumberFormat="1" applyFont="1" applyBorder="1" applyAlignment="1">
      <alignment horizontal="center" vertical="center"/>
    </xf>
    <xf numFmtId="0" fontId="8" fillId="6" borderId="0" xfId="0" applyFont="1" applyFill="1" applyAlignment="1">
      <alignment horizontal="left" vertical="center" indent="4"/>
    </xf>
    <xf numFmtId="167" fontId="7" fillId="0" borderId="7" xfId="0" applyNumberFormat="1" applyFont="1" applyBorder="1" applyAlignment="1">
      <alignment horizontal="center" vertical="center"/>
    </xf>
    <xf numFmtId="0" fontId="8" fillId="2" borderId="0" xfId="0" applyFont="1" applyFill="1" applyAlignment="1">
      <alignment horizontal="left" vertical="center" indent="3"/>
    </xf>
    <xf numFmtId="9" fontId="8" fillId="0" borderId="7" xfId="1" applyFont="1" applyBorder="1" applyAlignment="1">
      <alignment horizontal="center" vertical="center"/>
    </xf>
    <xf numFmtId="167" fontId="7" fillId="2" borderId="5" xfId="1" applyNumberFormat="1" applyFont="1" applyFill="1" applyBorder="1" applyAlignment="1">
      <alignment horizontal="center" vertical="center"/>
    </xf>
    <xf numFmtId="167" fontId="7" fillId="2" borderId="3" xfId="1" applyNumberFormat="1" applyFont="1" applyFill="1" applyBorder="1" applyAlignment="1">
      <alignment horizontal="center" vertical="center"/>
    </xf>
    <xf numFmtId="9" fontId="7" fillId="0" borderId="16" xfId="1" applyFont="1" applyBorder="1" applyAlignment="1">
      <alignment horizontal="center" vertical="center"/>
    </xf>
    <xf numFmtId="9" fontId="7" fillId="2" borderId="17" xfId="1" applyFont="1" applyFill="1" applyBorder="1" applyAlignment="1">
      <alignment horizontal="center" vertical="center"/>
    </xf>
    <xf numFmtId="0" fontId="8" fillId="0" borderId="14" xfId="0" applyFont="1" applyBorder="1" applyAlignment="1">
      <alignment horizontal="left" vertical="center" indent="1"/>
    </xf>
    <xf numFmtId="167" fontId="8" fillId="0" borderId="3" xfId="0" applyNumberFormat="1" applyFont="1" applyBorder="1" applyAlignment="1">
      <alignment horizontal="center" vertical="center"/>
    </xf>
    <xf numFmtId="167" fontId="8" fillId="2" borderId="3" xfId="0" applyNumberFormat="1" applyFont="1" applyFill="1" applyBorder="1" applyAlignment="1">
      <alignment horizontal="center" vertical="center"/>
    </xf>
    <xf numFmtId="167" fontId="8" fillId="2" borderId="15" xfId="0" applyNumberFormat="1" applyFont="1" applyFill="1" applyBorder="1" applyAlignment="1">
      <alignment horizontal="center" vertical="center"/>
    </xf>
    <xf numFmtId="9" fontId="8" fillId="0" borderId="3" xfId="1" applyFont="1" applyBorder="1" applyAlignment="1">
      <alignment horizontal="center" vertical="center"/>
    </xf>
    <xf numFmtId="167" fontId="8" fillId="2" borderId="5" xfId="0" applyNumberFormat="1" applyFont="1" applyFill="1" applyBorder="1" applyAlignment="1">
      <alignment horizontal="center" vertical="center"/>
    </xf>
    <xf numFmtId="167" fontId="8" fillId="0" borderId="5" xfId="0" applyNumberFormat="1" applyFont="1" applyBorder="1" applyAlignment="1">
      <alignment horizontal="center" vertical="center"/>
    </xf>
    <xf numFmtId="9" fontId="8" fillId="0" borderId="5" xfId="1" applyFont="1" applyBorder="1" applyAlignment="1">
      <alignment horizontal="center" vertical="center"/>
    </xf>
    <xf numFmtId="9" fontId="7" fillId="0" borderId="17" xfId="1" applyFont="1" applyBorder="1" applyAlignment="1">
      <alignment horizontal="center" vertical="center"/>
    </xf>
    <xf numFmtId="0" fontId="8" fillId="0" borderId="0" xfId="0" applyFont="1"/>
    <xf numFmtId="0" fontId="6" fillId="4" borderId="0" xfId="0" applyFont="1" applyFill="1" applyAlignment="1">
      <alignment horizontal="center" vertical="center" wrapText="1"/>
    </xf>
    <xf numFmtId="0" fontId="6" fillId="4" borderId="0" xfId="0" applyFont="1" applyFill="1" applyAlignment="1">
      <alignment horizontal="left" vertical="center" wrapText="1" indent="1"/>
    </xf>
    <xf numFmtId="167" fontId="8" fillId="0" borderId="15" xfId="0" applyNumberFormat="1" applyFont="1" applyBorder="1" applyAlignment="1">
      <alignment horizontal="center" vertical="center"/>
    </xf>
    <xf numFmtId="9" fontId="8" fillId="0" borderId="16" xfId="1" applyFont="1" applyBorder="1" applyAlignment="1">
      <alignment horizontal="center" vertical="center"/>
    </xf>
    <xf numFmtId="0" fontId="8" fillId="2" borderId="6" xfId="0" applyFont="1" applyFill="1" applyBorder="1" applyAlignment="1">
      <alignment horizontal="left" vertical="center" indent="1"/>
    </xf>
    <xf numFmtId="164" fontId="8" fillId="0" borderId="0" xfId="0" applyNumberFormat="1" applyFont="1" applyAlignment="1">
      <alignment horizontal="center" vertical="center"/>
    </xf>
    <xf numFmtId="0" fontId="7" fillId="2" borderId="19" xfId="0" applyFont="1" applyFill="1" applyBorder="1" applyAlignment="1">
      <alignment horizontal="left" vertical="center" indent="1"/>
    </xf>
    <xf numFmtId="4" fontId="7" fillId="0" borderId="20" xfId="0" applyNumberFormat="1" applyFont="1" applyBorder="1" applyAlignment="1">
      <alignment horizontal="center" vertical="center"/>
    </xf>
    <xf numFmtId="0" fontId="7" fillId="2" borderId="20" xfId="0" applyFont="1" applyFill="1" applyBorder="1" applyAlignment="1">
      <alignment horizontal="left" vertical="center" indent="1"/>
    </xf>
    <xf numFmtId="9" fontId="7" fillId="0" borderId="21" xfId="1" applyFont="1" applyBorder="1" applyAlignment="1">
      <alignment horizontal="center" vertical="center"/>
    </xf>
    <xf numFmtId="0" fontId="15" fillId="8" borderId="3" xfId="0" applyFont="1" applyFill="1" applyBorder="1" applyAlignment="1">
      <alignment horizontal="left" vertical="center" indent="2"/>
    </xf>
    <xf numFmtId="9" fontId="15" fillId="0" borderId="17" xfId="1" applyFont="1" applyBorder="1" applyAlignment="1">
      <alignment horizontal="center" vertical="center"/>
    </xf>
    <xf numFmtId="9" fontId="5" fillId="0" borderId="0" xfId="1" applyFont="1" applyAlignment="1">
      <alignment horizontal="center" vertical="center"/>
    </xf>
    <xf numFmtId="0" fontId="7" fillId="2" borderId="3" xfId="0" applyFont="1" applyFill="1" applyBorder="1" applyAlignment="1">
      <alignment horizontal="left" vertical="center" indent="1"/>
    </xf>
    <xf numFmtId="9" fontId="7" fillId="0" borderId="0" xfId="1" applyFont="1" applyBorder="1" applyAlignment="1">
      <alignment horizontal="center" vertical="center"/>
    </xf>
    <xf numFmtId="0" fontId="7" fillId="0" borderId="14" xfId="0" applyFont="1" applyBorder="1" applyAlignment="1">
      <alignment horizontal="left" vertical="center" indent="1"/>
    </xf>
    <xf numFmtId="167" fontId="5" fillId="0" borderId="0" xfId="0" applyNumberFormat="1" applyFont="1" applyAlignment="1">
      <alignment horizontal="center"/>
    </xf>
    <xf numFmtId="9" fontId="5" fillId="0" borderId="0" xfId="0" applyNumberFormat="1" applyFont="1" applyAlignment="1">
      <alignment horizontal="center"/>
    </xf>
    <xf numFmtId="169" fontId="5" fillId="0" borderId="0" xfId="0" applyNumberFormat="1" applyFont="1" applyAlignment="1">
      <alignment horizontal="center"/>
    </xf>
    <xf numFmtId="0" fontId="0" fillId="0" borderId="13" xfId="0" applyBorder="1"/>
    <xf numFmtId="0" fontId="0" fillId="0" borderId="0" xfId="0" applyAlignment="1">
      <alignment horizontal="left" vertical="center"/>
    </xf>
    <xf numFmtId="0" fontId="7" fillId="2" borderId="0" xfId="0" applyFont="1" applyFill="1" applyAlignment="1">
      <alignment horizontal="left" vertical="center" indent="3"/>
    </xf>
    <xf numFmtId="0" fontId="8" fillId="0" borderId="3" xfId="0" applyFont="1" applyBorder="1" applyAlignment="1">
      <alignment horizontal="left" vertical="center" indent="1"/>
    </xf>
    <xf numFmtId="0" fontId="15" fillId="8" borderId="0" xfId="0" applyFont="1" applyFill="1" applyAlignment="1">
      <alignment horizontal="left" vertical="center" indent="2"/>
    </xf>
    <xf numFmtId="4" fontId="15" fillId="8" borderId="0" xfId="0" applyNumberFormat="1" applyFont="1" applyFill="1" applyAlignment="1">
      <alignment horizontal="center" vertical="center"/>
    </xf>
    <xf numFmtId="9" fontId="15" fillId="8" borderId="3" xfId="1" applyFont="1" applyFill="1" applyBorder="1" applyAlignment="1">
      <alignment horizontal="center" vertical="center"/>
    </xf>
    <xf numFmtId="0" fontId="21" fillId="4" borderId="1" xfId="0" applyFont="1" applyFill="1" applyBorder="1" applyAlignment="1">
      <alignment horizontal="left" vertical="center" indent="1"/>
    </xf>
    <xf numFmtId="2" fontId="8" fillId="6" borderId="0" xfId="0" applyNumberFormat="1" applyFont="1" applyFill="1" applyAlignment="1">
      <alignment horizontal="left" vertical="center" indent="2"/>
    </xf>
    <xf numFmtId="2" fontId="8" fillId="6" borderId="0" xfId="0" applyNumberFormat="1" applyFont="1" applyFill="1" applyAlignment="1">
      <alignment horizontal="left" vertical="center" wrapText="1"/>
    </xf>
    <xf numFmtId="1" fontId="8" fillId="6" borderId="0" xfId="0" applyNumberFormat="1" applyFont="1" applyFill="1" applyAlignment="1">
      <alignment horizontal="left" vertical="center"/>
    </xf>
    <xf numFmtId="1" fontId="7" fillId="6" borderId="0" xfId="0" applyNumberFormat="1" applyFont="1" applyFill="1" applyAlignment="1">
      <alignment horizontal="left" vertical="center"/>
    </xf>
    <xf numFmtId="9" fontId="8" fillId="6" borderId="0" xfId="1" applyFont="1" applyFill="1" applyBorder="1" applyAlignment="1">
      <alignment horizontal="left" vertical="center" wrapText="1"/>
    </xf>
    <xf numFmtId="0" fontId="8" fillId="6" borderId="0" xfId="0" applyFont="1" applyFill="1" applyAlignment="1">
      <alignment horizontal="left" vertical="center" wrapText="1"/>
    </xf>
    <xf numFmtId="0" fontId="7" fillId="0" borderId="6" xfId="0" applyFont="1" applyBorder="1" applyAlignment="1">
      <alignment horizontal="left" vertical="center" indent="1"/>
    </xf>
    <xf numFmtId="4" fontId="11" fillId="6" borderId="22" xfId="1" applyNumberFormat="1" applyFont="1" applyFill="1" applyBorder="1" applyAlignment="1">
      <alignment horizontal="center" vertical="center"/>
    </xf>
    <xf numFmtId="170" fontId="11" fillId="9" borderId="25" xfId="0" applyNumberFormat="1" applyFont="1" applyFill="1" applyBorder="1" applyAlignment="1">
      <alignment horizontal="center" vertical="center"/>
    </xf>
    <xf numFmtId="170" fontId="11" fillId="9" borderId="26" xfId="0" applyNumberFormat="1" applyFont="1" applyFill="1" applyBorder="1" applyAlignment="1">
      <alignment horizontal="center" vertical="center"/>
    </xf>
    <xf numFmtId="170" fontId="11" fillId="9" borderId="27" xfId="0" applyNumberFormat="1" applyFont="1" applyFill="1" applyBorder="1" applyAlignment="1">
      <alignment horizontal="center" vertical="center"/>
    </xf>
    <xf numFmtId="3" fontId="7" fillId="2" borderId="4" xfId="0" applyNumberFormat="1" applyFont="1" applyFill="1" applyBorder="1" applyAlignment="1">
      <alignment horizontal="center" vertical="center"/>
    </xf>
    <xf numFmtId="3" fontId="8" fillId="2" borderId="4" xfId="0" applyNumberFormat="1" applyFont="1" applyFill="1" applyBorder="1" applyAlignment="1">
      <alignment horizontal="center" vertical="center"/>
    </xf>
    <xf numFmtId="0" fontId="6" fillId="5" borderId="15" xfId="0" applyFont="1" applyFill="1" applyBorder="1" applyAlignment="1">
      <alignment horizontal="center" vertical="center" wrapText="1"/>
    </xf>
    <xf numFmtId="9" fontId="8" fillId="2" borderId="28" xfId="1" applyFont="1" applyFill="1" applyBorder="1" applyAlignment="1">
      <alignment horizontal="center" vertical="center"/>
    </xf>
    <xf numFmtId="9" fontId="8" fillId="0" borderId="1" xfId="1" applyFont="1" applyBorder="1" applyAlignment="1">
      <alignment horizontal="center" vertical="center"/>
    </xf>
    <xf numFmtId="9" fontId="8" fillId="0" borderId="29" xfId="1" applyFont="1" applyBorder="1" applyAlignment="1">
      <alignment horizontal="center" vertical="center"/>
    </xf>
    <xf numFmtId="9" fontId="8" fillId="0" borderId="15" xfId="1" applyFont="1" applyBorder="1" applyAlignment="1">
      <alignment horizontal="center" vertical="center"/>
    </xf>
    <xf numFmtId="167" fontId="8" fillId="0" borderId="30" xfId="0" applyNumberFormat="1" applyFont="1" applyBorder="1" applyAlignment="1">
      <alignment horizontal="center" vertical="center"/>
    </xf>
    <xf numFmtId="167" fontId="8" fillId="2" borderId="30" xfId="0" applyNumberFormat="1" applyFont="1" applyFill="1" applyBorder="1" applyAlignment="1">
      <alignment horizontal="center" vertical="center"/>
    </xf>
    <xf numFmtId="167" fontId="8" fillId="2" borderId="28" xfId="0" applyNumberFormat="1" applyFont="1" applyFill="1" applyBorder="1" applyAlignment="1">
      <alignment horizontal="center" vertical="center"/>
    </xf>
    <xf numFmtId="167" fontId="8" fillId="0" borderId="1" xfId="0" applyNumberFormat="1" applyFont="1" applyBorder="1" applyAlignment="1">
      <alignment horizontal="center" vertical="center"/>
    </xf>
    <xf numFmtId="167" fontId="8" fillId="0" borderId="29" xfId="0" applyNumberFormat="1" applyFont="1" applyBorder="1" applyAlignment="1">
      <alignment horizontal="center" vertical="center"/>
    </xf>
    <xf numFmtId="0" fontId="6" fillId="5" borderId="31" xfId="0" applyFont="1" applyFill="1" applyBorder="1" applyAlignment="1">
      <alignment horizontal="center" vertical="center" wrapText="1"/>
    </xf>
    <xf numFmtId="4" fontId="7" fillId="2" borderId="32" xfId="1" applyNumberFormat="1" applyFont="1" applyFill="1" applyBorder="1" applyAlignment="1">
      <alignment horizontal="center" vertical="center"/>
    </xf>
    <xf numFmtId="4" fontId="7" fillId="2" borderId="33" xfId="1" applyNumberFormat="1" applyFont="1" applyFill="1" applyBorder="1" applyAlignment="1">
      <alignment horizontal="center" vertical="center"/>
    </xf>
    <xf numFmtId="4" fontId="18" fillId="8" borderId="32" xfId="1" applyNumberFormat="1" applyFont="1" applyFill="1" applyBorder="1" applyAlignment="1">
      <alignment horizontal="center" vertical="center"/>
    </xf>
    <xf numFmtId="9" fontId="18" fillId="8" borderId="34" xfId="1" applyFont="1" applyFill="1" applyBorder="1" applyAlignment="1">
      <alignment horizontal="center" vertical="center"/>
    </xf>
    <xf numFmtId="0" fontId="19" fillId="0" borderId="0" xfId="0" applyFont="1" applyAlignment="1">
      <alignment vertical="center"/>
    </xf>
    <xf numFmtId="9" fontId="8" fillId="0" borderId="28" xfId="1" applyFont="1" applyBorder="1" applyAlignment="1">
      <alignment horizontal="center" vertical="center"/>
    </xf>
    <xf numFmtId="9" fontId="7" fillId="0" borderId="0" xfId="1" applyFont="1" applyFill="1" applyBorder="1" applyAlignment="1">
      <alignment horizontal="center" vertical="center"/>
    </xf>
    <xf numFmtId="1" fontId="19" fillId="8" borderId="0" xfId="0" applyNumberFormat="1" applyFont="1" applyFill="1" applyAlignment="1">
      <alignment horizontal="right"/>
    </xf>
    <xf numFmtId="0" fontId="0" fillId="0" borderId="0" xfId="0" applyAlignment="1">
      <alignment horizontal="right"/>
    </xf>
    <xf numFmtId="3" fontId="0" fillId="0" borderId="0" xfId="0" applyNumberFormat="1" applyAlignment="1">
      <alignment horizontal="right"/>
    </xf>
    <xf numFmtId="3" fontId="0" fillId="0" borderId="13" xfId="0" applyNumberFormat="1" applyBorder="1" applyAlignment="1">
      <alignment horizontal="right"/>
    </xf>
    <xf numFmtId="0" fontId="0" fillId="0" borderId="13" xfId="0" applyBorder="1" applyAlignment="1">
      <alignment horizontal="right"/>
    </xf>
    <xf numFmtId="3" fontId="19" fillId="0" borderId="0" xfId="0" applyNumberFormat="1" applyFont="1" applyAlignment="1">
      <alignment horizontal="right"/>
    </xf>
    <xf numFmtId="1" fontId="0" fillId="0" borderId="13" xfId="0" applyNumberFormat="1" applyBorder="1" applyAlignment="1">
      <alignment horizontal="right"/>
    </xf>
    <xf numFmtId="1" fontId="19" fillId="0" borderId="0" xfId="0" applyNumberFormat="1" applyFont="1" applyAlignment="1">
      <alignment horizontal="right"/>
    </xf>
    <xf numFmtId="4" fontId="0" fillId="0" borderId="0" xfId="0" applyNumberFormat="1" applyAlignment="1">
      <alignment horizontal="right"/>
    </xf>
    <xf numFmtId="0" fontId="19" fillId="8" borderId="0" xfId="0" applyFont="1" applyFill="1" applyAlignment="1">
      <alignment horizontal="right"/>
    </xf>
    <xf numFmtId="9" fontId="0" fillId="0" borderId="0" xfId="1" applyFont="1" applyAlignment="1">
      <alignment horizontal="right"/>
    </xf>
    <xf numFmtId="9" fontId="0" fillId="0" borderId="0" xfId="0" applyNumberFormat="1" applyAlignment="1">
      <alignment horizontal="right"/>
    </xf>
    <xf numFmtId="9" fontId="0" fillId="0" borderId="0" xfId="0" applyNumberFormat="1" applyAlignment="1">
      <alignment horizontal="right" vertical="center"/>
    </xf>
    <xf numFmtId="0" fontId="0" fillId="0" borderId="0" xfId="0" applyAlignment="1">
      <alignment horizontal="right" vertical="center"/>
    </xf>
    <xf numFmtId="169" fontId="0" fillId="0" borderId="0" xfId="0" applyNumberFormat="1" applyAlignment="1">
      <alignment horizontal="right" vertical="center"/>
    </xf>
    <xf numFmtId="3" fontId="0" fillId="0" borderId="0" xfId="0" applyNumberFormat="1" applyAlignment="1">
      <alignment horizontal="right" vertical="center"/>
    </xf>
    <xf numFmtId="9" fontId="0" fillId="0" borderId="0" xfId="1" applyFont="1" applyAlignment="1">
      <alignment horizontal="right" vertical="center"/>
    </xf>
    <xf numFmtId="0" fontId="6" fillId="0" borderId="0" xfId="0" applyFont="1" applyAlignment="1">
      <alignment horizontal="center" vertical="center"/>
    </xf>
    <xf numFmtId="0" fontId="8" fillId="0" borderId="16" xfId="0" applyFont="1" applyBorder="1" applyAlignment="1">
      <alignment horizontal="left" vertical="center" indent="3"/>
    </xf>
    <xf numFmtId="0" fontId="8" fillId="0" borderId="17" xfId="0" applyFont="1" applyBorder="1" applyAlignment="1">
      <alignment horizontal="left" vertical="center" indent="3"/>
    </xf>
    <xf numFmtId="3" fontId="8" fillId="0" borderId="16" xfId="1" applyNumberFormat="1" applyFont="1" applyBorder="1" applyAlignment="1">
      <alignment horizontal="center" vertical="center"/>
    </xf>
    <xf numFmtId="0" fontId="8" fillId="0" borderId="0" xfId="0" quotePrefix="1" applyFont="1" applyAlignment="1">
      <alignment horizontal="left" vertical="center" wrapText="1" indent="3"/>
    </xf>
    <xf numFmtId="0" fontId="5" fillId="0" borderId="35" xfId="0" applyFont="1" applyBorder="1"/>
    <xf numFmtId="3" fontId="8" fillId="0" borderId="17" xfId="1" applyNumberFormat="1" applyFont="1" applyBorder="1" applyAlignment="1">
      <alignment horizontal="center" vertical="center"/>
    </xf>
    <xf numFmtId="0" fontId="15" fillId="0" borderId="35" xfId="0" applyFont="1" applyBorder="1" applyAlignment="1">
      <alignment horizontal="left" vertical="center" indent="1"/>
    </xf>
    <xf numFmtId="9" fontId="5" fillId="0" borderId="0" xfId="1" applyFont="1" applyAlignment="1">
      <alignment horizontal="center"/>
    </xf>
    <xf numFmtId="167" fontId="7" fillId="2" borderId="15" xfId="1" applyNumberFormat="1" applyFont="1" applyFill="1" applyBorder="1" applyAlignment="1">
      <alignment horizontal="center" vertical="center"/>
    </xf>
    <xf numFmtId="0" fontId="8" fillId="0" borderId="0" xfId="0" quotePrefix="1" applyFont="1" applyAlignment="1">
      <alignment horizontal="left" vertical="center" wrapText="1" indent="1"/>
    </xf>
    <xf numFmtId="0" fontId="0" fillId="0" borderId="0" xfId="0" applyAlignment="1">
      <alignment horizontal="left" indent="2"/>
    </xf>
    <xf numFmtId="1" fontId="19" fillId="10" borderId="0" xfId="0" applyNumberFormat="1" applyFont="1" applyFill="1" applyAlignment="1">
      <alignment horizontal="right"/>
    </xf>
    <xf numFmtId="3" fontId="0" fillId="10" borderId="0" xfId="0" applyNumberFormat="1" applyFill="1" applyAlignment="1">
      <alignment horizontal="right"/>
    </xf>
    <xf numFmtId="0" fontId="19" fillId="10" borderId="0" xfId="0" applyFont="1" applyFill="1" applyAlignment="1">
      <alignment horizontal="right"/>
    </xf>
    <xf numFmtId="0" fontId="0" fillId="10" borderId="0" xfId="0" applyFill="1" applyAlignment="1">
      <alignment horizontal="right"/>
    </xf>
    <xf numFmtId="0" fontId="0" fillId="0" borderId="0" xfId="0" applyAlignment="1">
      <alignment horizontal="center" vertical="center"/>
    </xf>
    <xf numFmtId="9" fontId="7" fillId="0" borderId="4" xfId="1" applyFont="1" applyFill="1" applyBorder="1" applyAlignment="1">
      <alignment horizontal="center" vertical="center"/>
    </xf>
    <xf numFmtId="9" fontId="7" fillId="2" borderId="35" xfId="1" applyFont="1" applyFill="1" applyBorder="1" applyAlignment="1">
      <alignment horizontal="center" vertical="center"/>
    </xf>
    <xf numFmtId="9" fontId="7" fillId="2" borderId="16" xfId="1" applyFont="1" applyFill="1" applyBorder="1" applyAlignment="1">
      <alignment horizontal="center" vertical="center"/>
    </xf>
    <xf numFmtId="9" fontId="11" fillId="2" borderId="25" xfId="1" applyFont="1" applyFill="1" applyBorder="1" applyAlignment="1">
      <alignment horizontal="center" vertical="center"/>
    </xf>
    <xf numFmtId="9" fontId="11" fillId="2" borderId="26" xfId="1" applyFont="1" applyFill="1" applyBorder="1" applyAlignment="1">
      <alignment horizontal="center" vertical="center"/>
    </xf>
    <xf numFmtId="9" fontId="11" fillId="2" borderId="27" xfId="1" applyFont="1" applyFill="1" applyBorder="1" applyAlignment="1">
      <alignment horizontal="center" vertical="center"/>
    </xf>
    <xf numFmtId="0" fontId="5" fillId="0" borderId="36" xfId="0" applyFont="1" applyBorder="1" applyAlignment="1">
      <alignment vertical="center"/>
    </xf>
    <xf numFmtId="9" fontId="14" fillId="2" borderId="11" xfId="1" applyFont="1" applyFill="1" applyBorder="1" applyAlignment="1">
      <alignment horizontal="center" vertical="center"/>
    </xf>
    <xf numFmtId="9" fontId="14" fillId="7" borderId="11" xfId="1" applyFont="1" applyFill="1" applyBorder="1" applyAlignment="1">
      <alignment horizontal="center" vertical="center"/>
    </xf>
    <xf numFmtId="9" fontId="14" fillId="7" borderId="12" xfId="1" applyFont="1" applyFill="1" applyBorder="1" applyAlignment="1">
      <alignment horizontal="center" vertical="center"/>
    </xf>
    <xf numFmtId="168" fontId="7" fillId="2" borderId="4" xfId="0" applyNumberFormat="1" applyFont="1" applyFill="1" applyBorder="1" applyAlignment="1">
      <alignment horizontal="center" vertical="center"/>
    </xf>
    <xf numFmtId="168" fontId="7" fillId="2" borderId="0" xfId="0" applyNumberFormat="1" applyFont="1" applyFill="1" applyAlignment="1">
      <alignment horizontal="center" vertical="center"/>
    </xf>
    <xf numFmtId="168" fontId="7" fillId="2" borderId="7" xfId="0" applyNumberFormat="1" applyFont="1" applyFill="1" applyBorder="1" applyAlignment="1">
      <alignment horizontal="center" vertical="center"/>
    </xf>
    <xf numFmtId="167" fontId="5" fillId="0" borderId="0" xfId="0" applyNumberFormat="1" applyFont="1" applyAlignment="1">
      <alignment vertical="center"/>
    </xf>
    <xf numFmtId="0" fontId="8" fillId="6" borderId="0" xfId="0" applyFont="1" applyFill="1" applyAlignment="1">
      <alignment horizontal="left" vertical="center" indent="3"/>
    </xf>
    <xf numFmtId="9" fontId="11" fillId="6" borderId="22" xfId="1" applyFont="1" applyFill="1" applyBorder="1" applyAlignment="1">
      <alignment horizontal="center" vertical="center"/>
    </xf>
    <xf numFmtId="166" fontId="22" fillId="0" borderId="0" xfId="1" applyNumberFormat="1" applyFont="1" applyFill="1" applyBorder="1" applyAlignment="1">
      <alignment horizontal="center" vertical="center"/>
    </xf>
    <xf numFmtId="0" fontId="7" fillId="11" borderId="38" xfId="0" applyFont="1" applyFill="1" applyBorder="1" applyAlignment="1">
      <alignment horizontal="left" vertical="center" indent="1"/>
    </xf>
    <xf numFmtId="9" fontId="0" fillId="0" borderId="0" xfId="0" applyNumberFormat="1"/>
    <xf numFmtId="9" fontId="11" fillId="6" borderId="39" xfId="1" applyFont="1" applyFill="1" applyBorder="1" applyAlignment="1">
      <alignment horizontal="center" vertical="center"/>
    </xf>
    <xf numFmtId="9" fontId="11" fillId="6" borderId="40" xfId="1" applyFont="1" applyFill="1" applyBorder="1" applyAlignment="1">
      <alignment horizontal="center" vertical="center"/>
    </xf>
    <xf numFmtId="9" fontId="11" fillId="6" borderId="41" xfId="1" applyFont="1" applyFill="1" applyBorder="1" applyAlignment="1">
      <alignment horizontal="center" vertical="center"/>
    </xf>
    <xf numFmtId="9" fontId="11" fillId="6" borderId="42" xfId="1" applyFont="1" applyFill="1" applyBorder="1" applyAlignment="1">
      <alignment horizontal="center" vertical="center"/>
    </xf>
    <xf numFmtId="9" fontId="11" fillId="6" borderId="43" xfId="1" applyFont="1" applyFill="1" applyBorder="1" applyAlignment="1">
      <alignment horizontal="center" vertical="center"/>
    </xf>
    <xf numFmtId="9" fontId="11" fillId="6" borderId="44" xfId="1" applyFont="1" applyFill="1" applyBorder="1" applyAlignment="1">
      <alignment horizontal="center" vertical="center"/>
    </xf>
    <xf numFmtId="0" fontId="11" fillId="0" borderId="0" xfId="0" applyFont="1" applyAlignment="1">
      <alignment vertical="top" wrapText="1"/>
    </xf>
    <xf numFmtId="0" fontId="8" fillId="0" borderId="45" xfId="0" applyFont="1" applyBorder="1" applyAlignment="1">
      <alignment horizontal="left" vertical="center" indent="1"/>
    </xf>
    <xf numFmtId="0" fontId="8" fillId="0" borderId="7" xfId="0" applyFont="1" applyBorder="1" applyAlignment="1">
      <alignment horizontal="left" vertical="center" indent="1"/>
    </xf>
    <xf numFmtId="0" fontId="8" fillId="2" borderId="46" xfId="0" applyFont="1" applyFill="1" applyBorder="1" applyAlignment="1">
      <alignment horizontal="left" vertical="center" indent="1"/>
    </xf>
    <xf numFmtId="0" fontId="8" fillId="2" borderId="15" xfId="0" applyFont="1" applyFill="1" applyBorder="1" applyAlignment="1">
      <alignment horizontal="left" vertical="center" indent="1"/>
    </xf>
    <xf numFmtId="167" fontId="8" fillId="0" borderId="28" xfId="0" applyNumberFormat="1" applyFont="1" applyBorder="1" applyAlignment="1">
      <alignment horizontal="center" vertical="center"/>
    </xf>
    <xf numFmtId="167" fontId="8" fillId="2" borderId="1" xfId="0" applyNumberFormat="1" applyFont="1" applyFill="1" applyBorder="1" applyAlignment="1">
      <alignment horizontal="center" vertical="center"/>
    </xf>
    <xf numFmtId="167" fontId="8" fillId="2" borderId="47" xfId="0" applyNumberFormat="1" applyFont="1" applyFill="1" applyBorder="1" applyAlignment="1">
      <alignment horizontal="center" vertical="center"/>
    </xf>
    <xf numFmtId="167" fontId="8" fillId="2" borderId="15" xfId="1" applyNumberFormat="1" applyFont="1" applyFill="1" applyBorder="1" applyAlignment="1">
      <alignment horizontal="center" vertical="center"/>
    </xf>
    <xf numFmtId="0" fontId="8" fillId="0" borderId="7" xfId="0" applyFont="1" applyBorder="1" applyAlignment="1">
      <alignment horizontal="left" vertical="center" indent="2"/>
    </xf>
    <xf numFmtId="0" fontId="8" fillId="2" borderId="15" xfId="0" applyFont="1" applyFill="1" applyBorder="1" applyAlignment="1">
      <alignment horizontal="left" vertical="center" indent="2"/>
    </xf>
    <xf numFmtId="0" fontId="7" fillId="0" borderId="7" xfId="0" applyFont="1" applyBorder="1" applyAlignment="1">
      <alignment horizontal="left" vertical="center" indent="2"/>
    </xf>
    <xf numFmtId="3" fontId="7" fillId="0" borderId="4" xfId="0" applyNumberFormat="1" applyFont="1" applyBorder="1" applyAlignment="1">
      <alignment horizontal="center" vertical="center"/>
    </xf>
    <xf numFmtId="3" fontId="8" fillId="2" borderId="4" xfId="1" applyNumberFormat="1" applyFont="1" applyFill="1" applyBorder="1" applyAlignment="1">
      <alignment horizontal="center" vertical="center"/>
    </xf>
    <xf numFmtId="3" fontId="8" fillId="2" borderId="5" xfId="1" applyNumberFormat="1" applyFont="1" applyFill="1" applyBorder="1" applyAlignment="1">
      <alignment horizontal="center" vertical="center"/>
    </xf>
    <xf numFmtId="3" fontId="22" fillId="6" borderId="37" xfId="1" applyNumberFormat="1" applyFont="1" applyFill="1" applyBorder="1" applyAlignment="1">
      <alignment horizontal="center" vertical="center"/>
    </xf>
    <xf numFmtId="3" fontId="22" fillId="6" borderId="23" xfId="1" applyNumberFormat="1" applyFont="1" applyFill="1" applyBorder="1" applyAlignment="1">
      <alignment horizontal="center" vertical="center"/>
    </xf>
    <xf numFmtId="3" fontId="22" fillId="6" borderId="24" xfId="1" applyNumberFormat="1" applyFont="1" applyFill="1" applyBorder="1" applyAlignment="1">
      <alignment horizontal="center" vertical="center"/>
    </xf>
    <xf numFmtId="0" fontId="8" fillId="2" borderId="1" xfId="0" applyFont="1" applyFill="1" applyBorder="1" applyAlignment="1">
      <alignment horizontal="left" vertical="center" indent="1"/>
    </xf>
    <xf numFmtId="167" fontId="8" fillId="2" borderId="1" xfId="1" applyNumberFormat="1" applyFont="1" applyFill="1" applyBorder="1" applyAlignment="1">
      <alignment horizontal="center" vertical="center"/>
    </xf>
    <xf numFmtId="167" fontId="8" fillId="2" borderId="48" xfId="1" applyNumberFormat="1" applyFont="1" applyFill="1" applyBorder="1" applyAlignment="1">
      <alignment horizontal="center" vertical="center"/>
    </xf>
    <xf numFmtId="3" fontId="7" fillId="0" borderId="16" xfId="1" applyNumberFormat="1" applyFont="1" applyBorder="1" applyAlignment="1">
      <alignment horizontal="center" vertical="center"/>
    </xf>
    <xf numFmtId="3" fontId="8" fillId="2" borderId="17" xfId="1" applyNumberFormat="1" applyFont="1" applyFill="1" applyBorder="1" applyAlignment="1">
      <alignment horizontal="center" vertical="center"/>
    </xf>
    <xf numFmtId="0" fontId="7" fillId="6" borderId="18" xfId="0" applyFont="1" applyFill="1" applyBorder="1" applyAlignment="1">
      <alignment vertical="center"/>
    </xf>
    <xf numFmtId="0" fontId="0" fillId="0" borderId="0" xfId="0" applyAlignment="1">
      <alignment horizontal="left" vertical="center" indent="1"/>
    </xf>
    <xf numFmtId="9" fontId="0" fillId="10" borderId="0" xfId="1" applyFont="1" applyFill="1" applyAlignment="1">
      <alignment horizontal="right"/>
    </xf>
    <xf numFmtId="0" fontId="6" fillId="4" borderId="49"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6" fillId="4" borderId="51" xfId="0" applyFont="1" applyFill="1" applyBorder="1" applyAlignment="1">
      <alignment horizontal="center" vertical="center" wrapText="1"/>
    </xf>
    <xf numFmtId="0" fontId="11" fillId="0" borderId="0" xfId="0" applyFont="1" applyAlignment="1">
      <alignment horizontal="left" vertical="center" wrapText="1"/>
    </xf>
    <xf numFmtId="1" fontId="6" fillId="4" borderId="0" xfId="0" applyNumberFormat="1" applyFont="1" applyFill="1" applyAlignment="1">
      <alignment horizontal="center" vertical="center"/>
    </xf>
    <xf numFmtId="0" fontId="8" fillId="0" borderId="0" xfId="0" quotePrefix="1" applyFont="1" applyAlignment="1">
      <alignment horizontal="left" vertical="center" indent="4"/>
    </xf>
    <xf numFmtId="14" fontId="0" fillId="0" borderId="0" xfId="0" applyNumberFormat="1" applyAlignment="1">
      <alignment horizontal="center"/>
    </xf>
    <xf numFmtId="10" fontId="0" fillId="0" borderId="0" xfId="0" applyNumberFormat="1" applyAlignment="1">
      <alignment horizontal="center"/>
    </xf>
    <xf numFmtId="14" fontId="0" fillId="0" borderId="0" xfId="0" applyNumberFormat="1"/>
    <xf numFmtId="4" fontId="0" fillId="0" borderId="0" xfId="0" applyNumberFormat="1"/>
    <xf numFmtId="0" fontId="19" fillId="8" borderId="0" xfId="0" applyFont="1" applyFill="1" applyAlignment="1">
      <alignment horizontal="left"/>
    </xf>
    <xf numFmtId="0" fontId="19" fillId="8" borderId="0" xfId="0" applyFont="1" applyFill="1" applyAlignment="1">
      <alignment horizontal="left" vertical="center"/>
    </xf>
    <xf numFmtId="0" fontId="0" fillId="0" borderId="0" xfId="0" applyAlignment="1">
      <alignment horizontal="left"/>
    </xf>
    <xf numFmtId="0" fontId="0" fillId="0" borderId="0" xfId="0" applyAlignment="1">
      <alignment horizontal="center"/>
    </xf>
    <xf numFmtId="0" fontId="6" fillId="4" borderId="49" xfId="0" applyFont="1" applyFill="1" applyBorder="1" applyAlignment="1">
      <alignment horizontal="center" vertical="center" wrapText="1"/>
    </xf>
    <xf numFmtId="0" fontId="6" fillId="4" borderId="50" xfId="0" applyFont="1" applyFill="1" applyBorder="1" applyAlignment="1">
      <alignment horizontal="center" vertical="center" wrapText="1"/>
    </xf>
    <xf numFmtId="0" fontId="11" fillId="0" borderId="0" xfId="0" applyFont="1" applyAlignment="1">
      <alignment horizontal="left" vertical="center" wrapText="1"/>
    </xf>
    <xf numFmtId="0" fontId="23" fillId="0" borderId="0" xfId="0" applyFont="1" applyAlignment="1">
      <alignment horizontal="left" vertical="center" wrapText="1"/>
    </xf>
    <xf numFmtId="0" fontId="11" fillId="0" borderId="4" xfId="0" applyFont="1" applyBorder="1" applyAlignment="1">
      <alignment horizontal="center" wrapText="1"/>
    </xf>
    <xf numFmtId="0" fontId="11" fillId="0" borderId="0" xfId="0" applyFont="1" applyAlignment="1">
      <alignment horizontal="center" wrapText="1"/>
    </xf>
    <xf numFmtId="0" fontId="11" fillId="0" borderId="0" xfId="0" applyFont="1" applyAlignment="1">
      <alignment horizontal="left" vertical="center"/>
    </xf>
    <xf numFmtId="166" fontId="11" fillId="0" borderId="0" xfId="1" applyNumberFormat="1" applyFont="1" applyBorder="1" applyAlignment="1">
      <alignment horizontal="left" vertical="center" wrapText="1"/>
    </xf>
    <xf numFmtId="0" fontId="6" fillId="4" borderId="0" xfId="0" applyFont="1" applyFill="1" applyAlignment="1">
      <alignment horizontal="center" vertical="center" wrapText="1"/>
    </xf>
    <xf numFmtId="9" fontId="7" fillId="2" borderId="52" xfId="1" applyFont="1" applyFill="1" applyBorder="1" applyAlignment="1">
      <alignment horizontal="center" vertical="center"/>
    </xf>
    <xf numFmtId="9" fontId="7" fillId="2" borderId="50" xfId="1" applyFont="1" applyFill="1" applyBorder="1" applyAlignment="1">
      <alignment horizontal="center" vertical="center"/>
    </xf>
    <xf numFmtId="0" fontId="6" fillId="4" borderId="0" xfId="0" quotePrefix="1" applyFont="1" applyFill="1" applyAlignment="1">
      <alignment horizontal="center" vertical="center" wrapText="1"/>
    </xf>
    <xf numFmtId="4" fontId="7" fillId="2" borderId="53" xfId="1" applyNumberFormat="1" applyFont="1" applyFill="1" applyBorder="1" applyAlignment="1">
      <alignment horizontal="center" vertical="center"/>
    </xf>
    <xf numFmtId="4" fontId="7" fillId="2" borderId="52" xfId="1" applyNumberFormat="1" applyFont="1" applyFill="1" applyBorder="1" applyAlignment="1">
      <alignment horizontal="center" vertical="center"/>
    </xf>
    <xf numFmtId="0" fontId="10" fillId="2" borderId="0" xfId="0" applyFont="1" applyFill="1" applyAlignment="1">
      <alignment horizontal="left" vertical="center"/>
    </xf>
  </cellXfs>
  <cellStyles count="2">
    <cellStyle name="Normal" xfId="0" builtinId="0"/>
    <cellStyle name="Percent" xfId="1" builtinId="5"/>
  </cellStyles>
  <dxfs count="52">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FF0000"/>
      </font>
    </dxf>
    <dxf>
      <font>
        <color rgb="FF008F00"/>
      </font>
    </dxf>
    <dxf>
      <font>
        <color rgb="FFFF0000"/>
      </font>
    </dxf>
    <dxf>
      <font>
        <b/>
        <i val="0"/>
        <color rgb="FF008F00"/>
      </font>
    </dxf>
    <dxf>
      <font>
        <b/>
        <i val="0"/>
        <strike val="0"/>
        <color rgb="FFFF0000"/>
      </font>
    </dxf>
    <dxf>
      <font>
        <color rgb="FFFF0000"/>
      </font>
    </dxf>
    <dxf>
      <font>
        <color rgb="FFFF0000"/>
      </font>
    </dxf>
    <dxf>
      <font>
        <color rgb="FF008F00"/>
      </font>
    </dxf>
    <dxf>
      <font>
        <color rgb="FFFF0000"/>
      </font>
    </dxf>
    <dxf>
      <font>
        <color rgb="FFFF0000"/>
      </font>
    </dxf>
    <dxf>
      <font>
        <color rgb="FFFF0000"/>
      </font>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theme="4"/>
        </right>
        <top/>
        <bottom/>
        <vertical/>
        <horizontal/>
      </border>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border diagonalUp="0" diagonalDown="0">
        <left style="thin">
          <color theme="4"/>
        </left>
        <right/>
        <top/>
        <bottom/>
        <vertical/>
        <horizontal/>
      </border>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border diagonalUp="0" diagonalDown="0">
        <left style="thin">
          <color theme="4"/>
        </left>
        <right/>
        <top/>
        <bottom/>
        <vertical/>
        <horizontal/>
      </border>
    </dxf>
    <dxf>
      <font>
        <b val="0"/>
        <i val="0"/>
        <strike val="0"/>
        <condense val="0"/>
        <extend val="0"/>
        <outline val="0"/>
        <shadow val="0"/>
        <u val="none"/>
        <vertAlign val="baseline"/>
        <sz val="12"/>
        <color theme="1"/>
        <name val="Ebrima"/>
        <scheme val="none"/>
      </font>
      <fill>
        <patternFill patternType="solid">
          <fgColor indexed="64"/>
          <bgColor theme="0"/>
        </patternFill>
      </fill>
      <alignment horizontal="left"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left" vertical="center" textRotation="0" wrapText="0" indent="1" justifyLastLine="0" shrinkToFit="0" readingOrder="0"/>
      <border diagonalUp="0" diagonalDown="0" outline="0">
        <left style="thin">
          <color theme="3"/>
        </left>
        <right style="thin">
          <color theme="3"/>
        </right>
        <top/>
        <bottom/>
      </border>
    </dxf>
    <dxf>
      <border diagonalUp="0" diagonalDown="0">
        <left/>
        <right style="thin">
          <color theme="3"/>
        </right>
        <top/>
        <bottom/>
      </border>
    </dxf>
    <dxf>
      <font>
        <strike val="0"/>
        <outline val="0"/>
        <shadow val="0"/>
        <u val="none"/>
        <vertAlign val="baseline"/>
        <sz val="12"/>
        <name val="Ebrima"/>
        <scheme val="none"/>
      </font>
    </dxf>
    <dxf>
      <font>
        <strike val="0"/>
        <outline val="0"/>
        <shadow val="0"/>
        <u val="none"/>
        <vertAlign val="baseline"/>
        <sz val="12"/>
        <name val="Ebrima"/>
        <scheme val="none"/>
      </font>
    </dxf>
  </dxfs>
  <tableStyles count="0" defaultTableStyle="TableStyleMedium2" defaultPivotStyle="PivotStyleMedium9"/>
  <colors>
    <mruColors>
      <color rgb="FF008F00"/>
      <color rgb="FF00FF00"/>
      <color rgb="FFFFFF00"/>
      <color rgb="FFFFFD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sz="1800" b="1"/>
              <a:t>Valor Intrínseco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lineChart>
        <c:grouping val="standard"/>
        <c:varyColors val="0"/>
        <c:ser>
          <c:idx val="0"/>
          <c:order val="0"/>
          <c:tx>
            <c:strRef>
              <c:f>'4.Valoracion'!$A$29</c:f>
              <c:strCache>
                <c:ptCount val="1"/>
                <c:pt idx="0">
                  <c:v>EV / FCF </c:v>
                </c:pt>
              </c:strCache>
            </c:strRef>
          </c:tx>
          <c:spPr>
            <a:ln w="28575" cap="rnd">
              <a:solidFill>
                <a:schemeClr val="accent1"/>
              </a:solidFill>
              <a:round/>
            </a:ln>
            <a:effectLst/>
          </c:spPr>
          <c:marker>
            <c:symbol val="diamond"/>
            <c:size val="10"/>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'4.Valoracion'!$B$27:$F$27</c:f>
            </c:multiLvlStrRef>
          </c:cat>
          <c:val>
            <c:numRef>
              <c:f>'4.Valoracion'!$B$29:$F$29</c:f>
              <c:numCache>
                <c:formatCode>#,##0.00</c:formatCode>
                <c:ptCount val="5"/>
                <c:pt idx="0">
                  <c:v>0</c:v>
                </c:pt>
                <c:pt idx="1">
                  <c:v>0</c:v>
                </c:pt>
                <c:pt idx="2">
                  <c:v>0</c:v>
                </c:pt>
                <c:pt idx="3">
                  <c:v>0</c:v>
                </c:pt>
                <c:pt idx="4">
                  <c:v>0</c:v>
                </c:pt>
              </c:numCache>
            </c:numRef>
          </c:val>
          <c:smooth val="1"/>
          <c:extLst>
            <c:ext xmlns:c16="http://schemas.microsoft.com/office/drawing/2014/chart" uri="{C3380CC4-5D6E-409C-BE32-E72D297353CC}">
              <c16:uniqueId val="{00000000-ECAE-4AC7-A87E-F0CB64A2EAEC}"/>
            </c:ext>
          </c:extLst>
        </c:ser>
        <c:ser>
          <c:idx val="1"/>
          <c:order val="1"/>
          <c:tx>
            <c:strRef>
              <c:f>TIKR_Cálculos!$A$15</c:f>
              <c:strCache>
                <c:ptCount val="1"/>
                <c:pt idx="0">
                  <c:v>Precio actual</c:v>
                </c:pt>
              </c:strCache>
            </c:strRef>
          </c:tx>
          <c:spPr>
            <a:ln w="28575" cap="rnd">
              <a:solidFill>
                <a:schemeClr val="accent6"/>
              </a:solidFill>
              <a:prstDash val="dash"/>
              <a:round/>
            </a:ln>
            <a:effectLst/>
          </c:spPr>
          <c:marker>
            <c:symbol val="none"/>
          </c:marker>
          <c:cat>
            <c:multiLvlStrRef>
              <c:f>'4.Valoracion'!$B$27:$F$27</c:f>
            </c:multiLvlStrRef>
          </c:cat>
          <c:val>
            <c:numRef>
              <c:f>TIKR_Cálculos!$B$15:$F$15</c:f>
              <c:numCache>
                <c:formatCode>#,##0.00</c:formatCode>
                <c:ptCount val="5"/>
                <c:pt idx="0">
                  <c:v>0</c:v>
                </c:pt>
                <c:pt idx="1">
                  <c:v>0</c:v>
                </c:pt>
                <c:pt idx="2">
                  <c:v>0</c:v>
                </c:pt>
                <c:pt idx="3">
                  <c:v>0</c:v>
                </c:pt>
                <c:pt idx="4">
                  <c:v>0</c:v>
                </c:pt>
              </c:numCache>
            </c:numRef>
          </c:val>
          <c:smooth val="1"/>
          <c:extLst>
            <c:ext xmlns:c16="http://schemas.microsoft.com/office/drawing/2014/chart" uri="{C3380CC4-5D6E-409C-BE32-E72D297353CC}">
              <c16:uniqueId val="{00000001-ECAE-4AC7-A87E-F0CB64A2EAEC}"/>
            </c:ext>
          </c:extLst>
        </c:ser>
        <c:dLbls>
          <c:showLegendKey val="0"/>
          <c:showVal val="0"/>
          <c:showCatName val="0"/>
          <c:showSerName val="0"/>
          <c:showPercent val="0"/>
          <c:showBubbleSize val="0"/>
        </c:dLbls>
        <c:marker val="1"/>
        <c:smooth val="0"/>
        <c:axId val="1725711072"/>
        <c:axId val="1786543760"/>
      </c:lineChart>
      <c:catAx>
        <c:axId val="172571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786543760"/>
        <c:crosses val="autoZero"/>
        <c:auto val="1"/>
        <c:lblAlgn val="ctr"/>
        <c:lblOffset val="100"/>
        <c:noMultiLvlLbl val="0"/>
      </c:catAx>
      <c:valAx>
        <c:axId val="1786543760"/>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725711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sz="1800" b="1"/>
              <a:t>Múltiplo histórico EV/FCF</a:t>
            </a:r>
          </a:p>
        </c:rich>
      </c:tx>
      <c:overlay val="0"/>
      <c:spPr>
        <a:blipFill>
          <a:blip xmlns:r="http://schemas.openxmlformats.org/officeDocument/2006/relationships" r:embed="rId3">
            <a:alphaModFix amt="5000"/>
          </a:blip>
          <a:tile tx="0" ty="0" sx="100000" sy="100000" flip="none" algn="tl"/>
        </a:blip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lineChart>
        <c:grouping val="standard"/>
        <c:varyColors val="0"/>
        <c:ser>
          <c:idx val="0"/>
          <c:order val="0"/>
          <c:tx>
            <c:strRef>
              <c:f>'4.Valoracion'!$A$14</c:f>
              <c:strCache>
                <c:ptCount val="1"/>
                <c:pt idx="0">
                  <c:v>EV / FCF</c:v>
                </c:pt>
              </c:strCache>
            </c:strRef>
          </c:tx>
          <c:spPr>
            <a:ln w="28575" cap="rnd">
              <a:solidFill>
                <a:schemeClr val="accent1"/>
              </a:solidFill>
              <a:round/>
            </a:ln>
            <a:effectLst/>
          </c:spPr>
          <c:marker>
            <c:symbol val="none"/>
          </c:marker>
          <c:cat>
            <c:multiLvlStrRef>
              <c:f>'4.Valoracion'!$B$12:$K$12</c:f>
            </c:multiLvlStrRef>
          </c:cat>
          <c:val>
            <c:numRef>
              <c:f>'4.Valoracion'!$B$14:$K$14</c:f>
              <c:numCache>
                <c:formatCode>#,##0;[Red]\(#,##0\)</c:formatCode>
                <c:ptCount val="10"/>
                <c:pt idx="0">
                  <c:v>0</c:v>
                </c:pt>
                <c:pt idx="1">
                  <c:v>0</c:v>
                </c:pt>
                <c:pt idx="2">
                  <c:v>0</c:v>
                </c:pt>
                <c:pt idx="3">
                  <c:v>0</c:v>
                </c:pt>
                <c:pt idx="4">
                  <c:v>0</c:v>
                </c:pt>
                <c:pt idx="5">
                  <c:v>0</c:v>
                </c:pt>
                <c:pt idx="6">
                  <c:v>0</c:v>
                </c:pt>
                <c:pt idx="7">
                  <c:v>0</c:v>
                </c:pt>
                <c:pt idx="8">
                  <c:v>0</c:v>
                </c:pt>
                <c:pt idx="9">
                  <c:v>0</c:v>
                </c:pt>
              </c:numCache>
            </c:numRef>
          </c:val>
          <c:smooth val="1"/>
          <c:extLst>
            <c:ext xmlns:c16="http://schemas.microsoft.com/office/drawing/2014/chart" uri="{C3380CC4-5D6E-409C-BE32-E72D297353CC}">
              <c16:uniqueId val="{00000000-0609-450B-AC2F-8F649CC08B86}"/>
            </c:ext>
          </c:extLst>
        </c:ser>
        <c:ser>
          <c:idx val="1"/>
          <c:order val="1"/>
          <c:tx>
            <c:strRef>
              <c:f>'4.Valoracion'!$A$15</c:f>
              <c:strCache>
                <c:ptCount val="1"/>
                <c:pt idx="0">
                  <c:v>Mediana EV / FCF</c:v>
                </c:pt>
              </c:strCache>
            </c:strRef>
          </c:tx>
          <c:spPr>
            <a:ln w="28575" cap="rnd">
              <a:solidFill>
                <a:schemeClr val="accent6"/>
              </a:solidFill>
              <a:prstDash val="dash"/>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3-0609-450B-AC2F-8F649CC08B86}"/>
                </c:ext>
              </c:extLst>
            </c:dLbl>
            <c:dLbl>
              <c:idx val="1"/>
              <c:delete val="1"/>
              <c:extLst>
                <c:ext xmlns:c15="http://schemas.microsoft.com/office/drawing/2012/chart" uri="{CE6537A1-D6FC-4f65-9D91-7224C49458BB}"/>
                <c:ext xmlns:c16="http://schemas.microsoft.com/office/drawing/2014/chart" uri="{C3380CC4-5D6E-409C-BE32-E72D297353CC}">
                  <c16:uniqueId val="{00000004-0609-450B-AC2F-8F649CC08B86}"/>
                </c:ext>
              </c:extLst>
            </c:dLbl>
            <c:dLbl>
              <c:idx val="2"/>
              <c:delete val="1"/>
              <c:extLst>
                <c:ext xmlns:c15="http://schemas.microsoft.com/office/drawing/2012/chart" uri="{CE6537A1-D6FC-4f65-9D91-7224C49458BB}"/>
                <c:ext xmlns:c16="http://schemas.microsoft.com/office/drawing/2014/chart" uri="{C3380CC4-5D6E-409C-BE32-E72D297353CC}">
                  <c16:uniqueId val="{00000005-0609-450B-AC2F-8F649CC08B86}"/>
                </c:ext>
              </c:extLst>
            </c:dLbl>
            <c:dLbl>
              <c:idx val="3"/>
              <c:delete val="1"/>
              <c:extLst>
                <c:ext xmlns:c15="http://schemas.microsoft.com/office/drawing/2012/chart" uri="{CE6537A1-D6FC-4f65-9D91-7224C49458BB}"/>
                <c:ext xmlns:c16="http://schemas.microsoft.com/office/drawing/2014/chart" uri="{C3380CC4-5D6E-409C-BE32-E72D297353CC}">
                  <c16:uniqueId val="{00000006-0609-450B-AC2F-8F649CC08B86}"/>
                </c:ext>
              </c:extLst>
            </c:dLbl>
            <c:dLbl>
              <c:idx val="4"/>
              <c:delete val="1"/>
              <c:extLst>
                <c:ext xmlns:c15="http://schemas.microsoft.com/office/drawing/2012/chart" uri="{CE6537A1-D6FC-4f65-9D91-7224C49458BB}"/>
                <c:ext xmlns:c16="http://schemas.microsoft.com/office/drawing/2014/chart" uri="{C3380CC4-5D6E-409C-BE32-E72D297353CC}">
                  <c16:uniqueId val="{00000007-0609-450B-AC2F-8F649CC08B86}"/>
                </c:ext>
              </c:extLst>
            </c:dLbl>
            <c:dLbl>
              <c:idx val="5"/>
              <c:delete val="1"/>
              <c:extLst>
                <c:ext xmlns:c15="http://schemas.microsoft.com/office/drawing/2012/chart" uri="{CE6537A1-D6FC-4f65-9D91-7224C49458BB}"/>
                <c:ext xmlns:c16="http://schemas.microsoft.com/office/drawing/2014/chart" uri="{C3380CC4-5D6E-409C-BE32-E72D297353CC}">
                  <c16:uniqueId val="{00000008-0609-450B-AC2F-8F649CC08B86}"/>
                </c:ext>
              </c:extLst>
            </c:dLbl>
            <c:dLbl>
              <c:idx val="6"/>
              <c:delete val="1"/>
              <c:extLst>
                <c:ext xmlns:c15="http://schemas.microsoft.com/office/drawing/2012/chart" uri="{CE6537A1-D6FC-4f65-9D91-7224C49458BB}"/>
                <c:ext xmlns:c16="http://schemas.microsoft.com/office/drawing/2014/chart" uri="{C3380CC4-5D6E-409C-BE32-E72D297353CC}">
                  <c16:uniqueId val="{00000009-0609-450B-AC2F-8F649CC08B86}"/>
                </c:ext>
              </c:extLst>
            </c:dLbl>
            <c:dLbl>
              <c:idx val="7"/>
              <c:delete val="1"/>
              <c:extLst>
                <c:ext xmlns:c15="http://schemas.microsoft.com/office/drawing/2012/chart" uri="{CE6537A1-D6FC-4f65-9D91-7224C49458BB}"/>
                <c:ext xmlns:c16="http://schemas.microsoft.com/office/drawing/2014/chart" uri="{C3380CC4-5D6E-409C-BE32-E72D297353CC}">
                  <c16:uniqueId val="{0000000A-0609-450B-AC2F-8F649CC08B86}"/>
                </c:ext>
              </c:extLst>
            </c:dLbl>
            <c:dLbl>
              <c:idx val="8"/>
              <c:delete val="1"/>
              <c:extLst>
                <c:ext xmlns:c15="http://schemas.microsoft.com/office/drawing/2012/chart" uri="{CE6537A1-D6FC-4f65-9D91-7224C49458BB}"/>
                <c:ext xmlns:c16="http://schemas.microsoft.com/office/drawing/2014/chart" uri="{C3380CC4-5D6E-409C-BE32-E72D297353CC}">
                  <c16:uniqueId val="{0000000B-0609-450B-AC2F-8F649CC08B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'4.Valoracion'!$B$12:$K$12</c:f>
            </c:multiLvlStrRef>
          </c:cat>
          <c:val>
            <c:numRef>
              <c:f>'4.Valoracion'!$B$15:$K$15</c:f>
              <c:numCache>
                <c:formatCode>#,##0;[Red]\(#,##0\)</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1-0609-450B-AC2F-8F649CC08B86}"/>
            </c:ext>
          </c:extLst>
        </c:ser>
        <c:dLbls>
          <c:showLegendKey val="0"/>
          <c:showVal val="0"/>
          <c:showCatName val="0"/>
          <c:showSerName val="0"/>
          <c:showPercent val="0"/>
          <c:showBubbleSize val="0"/>
        </c:dLbls>
        <c:smooth val="0"/>
        <c:axId val="913383920"/>
        <c:axId val="913372880"/>
      </c:lineChart>
      <c:catAx>
        <c:axId val="91338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913372880"/>
        <c:crosses val="autoZero"/>
        <c:auto val="1"/>
        <c:lblAlgn val="ctr"/>
        <c:lblOffset val="100"/>
        <c:noMultiLvlLbl val="0"/>
      </c:catAx>
      <c:valAx>
        <c:axId val="913372880"/>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913383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0"/>
    <c:dispBlanksAs val="gap"/>
    <c:showDLblsOverMax val="0"/>
  </c:chart>
  <c:spPr>
    <a:blipFill>
      <a:blip xmlns:r="http://schemas.openxmlformats.org/officeDocument/2006/relationships" r:embed="rId3">
        <a:alphaModFix amt="5000"/>
      </a:blip>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Márgenes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lineChart>
        <c:grouping val="standard"/>
        <c:varyColors val="0"/>
        <c:ser>
          <c:idx val="0"/>
          <c:order val="0"/>
          <c:tx>
            <c:strRef>
              <c:f>TIKR_Cálculos!$A$54</c:f>
              <c:strCache>
                <c:ptCount val="1"/>
                <c:pt idx="0">
                  <c:v>EBITDA</c:v>
                </c:pt>
              </c:strCache>
            </c:strRef>
          </c:tx>
          <c:spPr>
            <a:ln w="28575" cap="rnd">
              <a:solidFill>
                <a:schemeClr val="accent1"/>
              </a:solidFill>
              <a:round/>
            </a:ln>
            <a:effectLst/>
          </c:spPr>
          <c:marker>
            <c:symbol val="none"/>
          </c:marker>
          <c:cat>
            <c:multiLvlStrRef>
              <c:f>TIKR_Cálculos!$B$53:$K$53</c:f>
            </c:multiLvlStrRef>
          </c:cat>
          <c:val>
            <c:numRef>
              <c:f>TIKR_Cálculos!$B$54:$K$54</c:f>
              <c:numCache>
                <c:formatCode>0.0%</c:formatCode>
                <c:ptCount val="10"/>
                <c:pt idx="0">
                  <c:v>0</c:v>
                </c:pt>
                <c:pt idx="1">
                  <c:v>0</c:v>
                </c:pt>
                <c:pt idx="2">
                  <c:v>0</c:v>
                </c:pt>
                <c:pt idx="3">
                  <c:v>0</c:v>
                </c:pt>
                <c:pt idx="4">
                  <c:v>0</c:v>
                </c:pt>
                <c:pt idx="5">
                  <c:v>0</c:v>
                </c:pt>
                <c:pt idx="6">
                  <c:v>0</c:v>
                </c:pt>
                <c:pt idx="7">
                  <c:v>0</c:v>
                </c:pt>
                <c:pt idx="8">
                  <c:v>0</c:v>
                </c:pt>
                <c:pt idx="9">
                  <c:v>0</c:v>
                </c:pt>
              </c:numCache>
            </c:numRef>
          </c:val>
          <c:smooth val="1"/>
          <c:extLst>
            <c:ext xmlns:c16="http://schemas.microsoft.com/office/drawing/2014/chart" uri="{C3380CC4-5D6E-409C-BE32-E72D297353CC}">
              <c16:uniqueId val="{00000000-724A-4770-9702-F87A32B0FCEE}"/>
            </c:ext>
          </c:extLst>
        </c:ser>
        <c:ser>
          <c:idx val="1"/>
          <c:order val="1"/>
          <c:tx>
            <c:strRef>
              <c:f>TIKR_Cálculos!$A$55</c:f>
              <c:strCache>
                <c:ptCount val="1"/>
                <c:pt idx="0">
                  <c:v>EBIT</c:v>
                </c:pt>
              </c:strCache>
            </c:strRef>
          </c:tx>
          <c:spPr>
            <a:ln w="28575" cap="rnd">
              <a:solidFill>
                <a:schemeClr val="accent6"/>
              </a:solidFill>
              <a:round/>
            </a:ln>
            <a:effectLst/>
          </c:spPr>
          <c:marker>
            <c:symbol val="none"/>
          </c:marker>
          <c:cat>
            <c:multiLvlStrRef>
              <c:f>TIKR_Cálculos!$B$53:$K$53</c:f>
            </c:multiLvlStrRef>
          </c:cat>
          <c:val>
            <c:numRef>
              <c:f>TIKR_Cálculos!$B$55:$K$55</c:f>
              <c:numCache>
                <c:formatCode>0.0%</c:formatCode>
                <c:ptCount val="10"/>
                <c:pt idx="0">
                  <c:v>0</c:v>
                </c:pt>
                <c:pt idx="1">
                  <c:v>0</c:v>
                </c:pt>
                <c:pt idx="2">
                  <c:v>0</c:v>
                </c:pt>
                <c:pt idx="3">
                  <c:v>0</c:v>
                </c:pt>
                <c:pt idx="4">
                  <c:v>0</c:v>
                </c:pt>
                <c:pt idx="5">
                  <c:v>0</c:v>
                </c:pt>
                <c:pt idx="6">
                  <c:v>0</c:v>
                </c:pt>
                <c:pt idx="7">
                  <c:v>0</c:v>
                </c:pt>
                <c:pt idx="8">
                  <c:v>0</c:v>
                </c:pt>
                <c:pt idx="9">
                  <c:v>0</c:v>
                </c:pt>
              </c:numCache>
            </c:numRef>
          </c:val>
          <c:smooth val="1"/>
          <c:extLst>
            <c:ext xmlns:c16="http://schemas.microsoft.com/office/drawing/2014/chart" uri="{C3380CC4-5D6E-409C-BE32-E72D297353CC}">
              <c16:uniqueId val="{00000001-724A-4770-9702-F87A32B0FCEE}"/>
            </c:ext>
          </c:extLst>
        </c:ser>
        <c:ser>
          <c:idx val="2"/>
          <c:order val="2"/>
          <c:tx>
            <c:strRef>
              <c:f>TIKR_Cálculos!$A$56</c:f>
              <c:strCache>
                <c:ptCount val="1"/>
                <c:pt idx="0">
                  <c:v>FCF</c:v>
                </c:pt>
              </c:strCache>
            </c:strRef>
          </c:tx>
          <c:spPr>
            <a:ln w="28575" cap="rnd">
              <a:solidFill>
                <a:schemeClr val="accent3"/>
              </a:solidFill>
              <a:round/>
            </a:ln>
            <a:effectLst/>
          </c:spPr>
          <c:marker>
            <c:symbol val="none"/>
          </c:marker>
          <c:cat>
            <c:multiLvlStrRef>
              <c:f>TIKR_Cálculos!$B$53:$K$53</c:f>
            </c:multiLvlStrRef>
          </c:cat>
          <c:val>
            <c:numRef>
              <c:f>TIKR_Cálculos!$B$56:$K$56</c:f>
              <c:numCache>
                <c:formatCode>0.0%</c:formatCode>
                <c:ptCount val="10"/>
                <c:pt idx="0">
                  <c:v>0</c:v>
                </c:pt>
                <c:pt idx="1">
                  <c:v>0</c:v>
                </c:pt>
                <c:pt idx="2">
                  <c:v>0</c:v>
                </c:pt>
                <c:pt idx="3">
                  <c:v>0</c:v>
                </c:pt>
                <c:pt idx="4">
                  <c:v>0</c:v>
                </c:pt>
                <c:pt idx="5">
                  <c:v>0</c:v>
                </c:pt>
                <c:pt idx="6">
                  <c:v>0</c:v>
                </c:pt>
                <c:pt idx="7">
                  <c:v>0</c:v>
                </c:pt>
                <c:pt idx="8">
                  <c:v>0</c:v>
                </c:pt>
                <c:pt idx="9">
                  <c:v>0</c:v>
                </c:pt>
              </c:numCache>
            </c:numRef>
          </c:val>
          <c:smooth val="1"/>
          <c:extLst>
            <c:ext xmlns:c16="http://schemas.microsoft.com/office/drawing/2014/chart" uri="{C3380CC4-5D6E-409C-BE32-E72D297353CC}">
              <c16:uniqueId val="{00000002-724A-4770-9702-F87A32B0FCEE}"/>
            </c:ext>
          </c:extLst>
        </c:ser>
        <c:dLbls>
          <c:showLegendKey val="0"/>
          <c:showVal val="0"/>
          <c:showCatName val="0"/>
          <c:showSerName val="0"/>
          <c:showPercent val="0"/>
          <c:showBubbleSize val="0"/>
        </c:dLbls>
        <c:smooth val="0"/>
        <c:axId val="375176607"/>
        <c:axId val="375174111"/>
      </c:lineChart>
      <c:catAx>
        <c:axId val="37517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4111"/>
        <c:crosses val="autoZero"/>
        <c:auto val="1"/>
        <c:lblAlgn val="ctr"/>
        <c:lblOffset val="100"/>
        <c:noMultiLvlLbl val="0"/>
      </c:catAx>
      <c:valAx>
        <c:axId val="375174111"/>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6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Crecimiento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lineChart>
        <c:grouping val="standard"/>
        <c:varyColors val="0"/>
        <c:ser>
          <c:idx val="0"/>
          <c:order val="0"/>
          <c:tx>
            <c:strRef>
              <c:f>TIKR_Cálculos!$A$48</c:f>
              <c:strCache>
                <c:ptCount val="1"/>
                <c:pt idx="0">
                  <c:v>Ventas</c:v>
                </c:pt>
              </c:strCache>
            </c:strRef>
          </c:tx>
          <c:spPr>
            <a:ln w="28575" cap="rnd">
              <a:solidFill>
                <a:schemeClr val="accent1"/>
              </a:solidFill>
              <a:round/>
            </a:ln>
            <a:effectLst/>
          </c:spPr>
          <c:marker>
            <c:symbol val="none"/>
          </c:marker>
          <c:cat>
            <c:multiLvlStrRef>
              <c:extLst>
                <c:ext xmlns:c15="http://schemas.microsoft.com/office/drawing/2012/chart" uri="{02D57815-91ED-43cb-92C2-25804820EDAC}">
                  <c15:fullRef>
                    <c15:sqref>TIKR_Cálculos!$B$47:$K$47</c15:sqref>
                  </c15:fullRef>
                </c:ext>
              </c:extLst>
              <c:f>TIKR_Cálculos!$B$47:$J$47</c:f>
            </c:multiLvlStrRef>
          </c:cat>
          <c:val>
            <c:numRef>
              <c:extLst>
                <c:ext xmlns:c15="http://schemas.microsoft.com/office/drawing/2012/chart" uri="{02D57815-91ED-43cb-92C2-25804820EDAC}">
                  <c15:fullRef>
                    <c15:sqref>TIKR_Cálculos!$B$48:$K$48</c15:sqref>
                  </c15:fullRef>
                </c:ext>
              </c:extLst>
              <c:f>TIKR_Cálculos!$B$48:$J$48</c:f>
              <c:numCache>
                <c:formatCode>0%</c:formatCode>
                <c:ptCount val="9"/>
                <c:pt idx="0">
                  <c:v>0</c:v>
                </c:pt>
                <c:pt idx="1">
                  <c:v>0</c:v>
                </c:pt>
                <c:pt idx="2">
                  <c:v>0</c:v>
                </c:pt>
                <c:pt idx="3">
                  <c:v>0</c:v>
                </c:pt>
                <c:pt idx="4">
                  <c:v>0</c:v>
                </c:pt>
                <c:pt idx="5">
                  <c:v>0</c:v>
                </c:pt>
                <c:pt idx="6">
                  <c:v>0</c:v>
                </c:pt>
                <c:pt idx="7">
                  <c:v>0</c:v>
                </c:pt>
                <c:pt idx="8">
                  <c:v>0</c:v>
                </c:pt>
              </c:numCache>
            </c:numRef>
          </c:val>
          <c:smooth val="1"/>
          <c:extLst>
            <c:ext xmlns:c16="http://schemas.microsoft.com/office/drawing/2014/chart" uri="{C3380CC4-5D6E-409C-BE32-E72D297353CC}">
              <c16:uniqueId val="{00000000-E8FB-47C7-8EDA-0FF775984DCF}"/>
            </c:ext>
          </c:extLst>
        </c:ser>
        <c:ser>
          <c:idx val="1"/>
          <c:order val="1"/>
          <c:tx>
            <c:strRef>
              <c:f>TIKR_Cálculos!$A$49</c:f>
              <c:strCache>
                <c:ptCount val="1"/>
                <c:pt idx="0">
                  <c:v>EPS</c:v>
                </c:pt>
              </c:strCache>
            </c:strRef>
          </c:tx>
          <c:spPr>
            <a:ln w="28575" cap="rnd">
              <a:solidFill>
                <a:schemeClr val="accent6"/>
              </a:solidFill>
              <a:round/>
            </a:ln>
            <a:effectLst/>
          </c:spPr>
          <c:marker>
            <c:symbol val="none"/>
          </c:marker>
          <c:cat>
            <c:multiLvlStrRef>
              <c:extLst>
                <c:ext xmlns:c15="http://schemas.microsoft.com/office/drawing/2012/chart" uri="{02D57815-91ED-43cb-92C2-25804820EDAC}">
                  <c15:fullRef>
                    <c15:sqref>TIKR_Cálculos!$B$47:$K$47</c15:sqref>
                  </c15:fullRef>
                </c:ext>
              </c:extLst>
              <c:f>TIKR_Cálculos!$B$47:$J$47</c:f>
            </c:multiLvlStrRef>
          </c:cat>
          <c:val>
            <c:numRef>
              <c:extLst>
                <c:ext xmlns:c15="http://schemas.microsoft.com/office/drawing/2012/chart" uri="{02D57815-91ED-43cb-92C2-25804820EDAC}">
                  <c15:fullRef>
                    <c15:sqref>TIKR_Cálculos!$B$49:$K$49</c15:sqref>
                  </c15:fullRef>
                </c:ext>
              </c:extLst>
              <c:f>TIKR_Cálculos!$B$49:$J$49</c:f>
              <c:numCache>
                <c:formatCode>0%</c:formatCode>
                <c:ptCount val="9"/>
                <c:pt idx="0">
                  <c:v>0</c:v>
                </c:pt>
                <c:pt idx="1">
                  <c:v>0</c:v>
                </c:pt>
                <c:pt idx="2">
                  <c:v>0</c:v>
                </c:pt>
                <c:pt idx="3">
                  <c:v>0</c:v>
                </c:pt>
                <c:pt idx="4">
                  <c:v>0</c:v>
                </c:pt>
                <c:pt idx="5">
                  <c:v>0</c:v>
                </c:pt>
                <c:pt idx="6">
                  <c:v>0</c:v>
                </c:pt>
                <c:pt idx="7">
                  <c:v>0</c:v>
                </c:pt>
                <c:pt idx="8">
                  <c:v>0</c:v>
                </c:pt>
              </c:numCache>
            </c:numRef>
          </c:val>
          <c:smooth val="1"/>
          <c:extLst>
            <c:ext xmlns:c16="http://schemas.microsoft.com/office/drawing/2014/chart" uri="{C3380CC4-5D6E-409C-BE32-E72D297353CC}">
              <c16:uniqueId val="{00000001-E8FB-47C7-8EDA-0FF775984DCF}"/>
            </c:ext>
          </c:extLst>
        </c:ser>
        <c:ser>
          <c:idx val="2"/>
          <c:order val="2"/>
          <c:tx>
            <c:strRef>
              <c:f>TIKR_Cálculos!$A$50</c:f>
              <c:strCache>
                <c:ptCount val="1"/>
                <c:pt idx="0">
                  <c:v>FCF per share</c:v>
                </c:pt>
              </c:strCache>
            </c:strRef>
          </c:tx>
          <c:spPr>
            <a:ln w="28575" cap="rnd">
              <a:solidFill>
                <a:schemeClr val="accent3"/>
              </a:solidFill>
              <a:round/>
            </a:ln>
            <a:effectLst/>
          </c:spPr>
          <c:marker>
            <c:symbol val="none"/>
          </c:marker>
          <c:cat>
            <c:multiLvlStrRef>
              <c:extLst>
                <c:ext xmlns:c15="http://schemas.microsoft.com/office/drawing/2012/chart" uri="{02D57815-91ED-43cb-92C2-25804820EDAC}">
                  <c15:fullRef>
                    <c15:sqref>TIKR_Cálculos!$B$47:$K$47</c15:sqref>
                  </c15:fullRef>
                </c:ext>
              </c:extLst>
              <c:f>TIKR_Cálculos!$B$47:$J$47</c:f>
            </c:multiLvlStrRef>
          </c:cat>
          <c:val>
            <c:numRef>
              <c:extLst>
                <c:ext xmlns:c15="http://schemas.microsoft.com/office/drawing/2012/chart" uri="{02D57815-91ED-43cb-92C2-25804820EDAC}">
                  <c15:fullRef>
                    <c15:sqref>TIKR_Cálculos!$B$50:$K$50</c15:sqref>
                  </c15:fullRef>
                </c:ext>
              </c:extLst>
              <c:f>TIKR_Cálculos!$B$50:$J$50</c:f>
              <c:numCache>
                <c:formatCode>0%</c:formatCode>
                <c:ptCount val="9"/>
                <c:pt idx="0">
                  <c:v>0</c:v>
                </c:pt>
                <c:pt idx="1">
                  <c:v>0</c:v>
                </c:pt>
                <c:pt idx="2">
                  <c:v>0</c:v>
                </c:pt>
                <c:pt idx="3">
                  <c:v>0</c:v>
                </c:pt>
                <c:pt idx="4">
                  <c:v>0</c:v>
                </c:pt>
                <c:pt idx="5">
                  <c:v>0</c:v>
                </c:pt>
                <c:pt idx="6">
                  <c:v>0</c:v>
                </c:pt>
                <c:pt idx="7">
                  <c:v>0</c:v>
                </c:pt>
                <c:pt idx="8">
                  <c:v>0</c:v>
                </c:pt>
              </c:numCache>
            </c:numRef>
          </c:val>
          <c:smooth val="1"/>
          <c:extLst>
            <c:ext xmlns:c16="http://schemas.microsoft.com/office/drawing/2014/chart" uri="{C3380CC4-5D6E-409C-BE32-E72D297353CC}">
              <c16:uniqueId val="{00000002-E8FB-47C7-8EDA-0FF775984DCF}"/>
            </c:ext>
          </c:extLst>
        </c:ser>
        <c:dLbls>
          <c:showLegendKey val="0"/>
          <c:showVal val="0"/>
          <c:showCatName val="0"/>
          <c:showSerName val="0"/>
          <c:showPercent val="0"/>
          <c:showBubbleSize val="0"/>
        </c:dLbls>
        <c:smooth val="0"/>
        <c:axId val="342049839"/>
        <c:axId val="342044847"/>
      </c:lineChart>
      <c:catAx>
        <c:axId val="342049839"/>
        <c:scaling>
          <c:orientation val="minMax"/>
        </c:scaling>
        <c:delete val="0"/>
        <c:axPos val="b"/>
        <c:numFmt formatCode="0"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42044847"/>
        <c:crosses val="autoZero"/>
        <c:auto val="1"/>
        <c:lblAlgn val="ctr"/>
        <c:lblOffset val="100"/>
        <c:noMultiLvlLbl val="0"/>
      </c:catAx>
      <c:valAx>
        <c:axId val="342044847"/>
        <c:scaling>
          <c:orientation val="minMax"/>
          <c:max val="1"/>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420498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FCF vs ROIC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clustered"/>
        <c:varyColors val="0"/>
        <c:ser>
          <c:idx val="0"/>
          <c:order val="0"/>
          <c:tx>
            <c:strRef>
              <c:f>TIKR_Cálculos!$A$60</c:f>
              <c:strCache>
                <c:ptCount val="1"/>
                <c:pt idx="0">
                  <c:v>FCF</c:v>
                </c:pt>
              </c:strCache>
            </c:strRef>
          </c:tx>
          <c:spPr>
            <a:solidFill>
              <a:schemeClr val="accent1"/>
            </a:solidFill>
            <a:ln>
              <a:noFill/>
            </a:ln>
            <a:effectLst/>
          </c:spPr>
          <c:invertIfNegative val="0"/>
          <c:cat>
            <c:multiLvlStrRef>
              <c:f>TIKR_Cálculos!$B$59:$K$59</c:f>
            </c:multiLvlStrRef>
          </c:cat>
          <c:val>
            <c:numRef>
              <c:f>TIKR_Cálculos!$B$60:$K$60</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9FE2-4E89-901A-04EC4532370A}"/>
            </c:ext>
          </c:extLst>
        </c:ser>
        <c:dLbls>
          <c:showLegendKey val="0"/>
          <c:showVal val="0"/>
          <c:showCatName val="0"/>
          <c:showSerName val="0"/>
          <c:showPercent val="0"/>
          <c:showBubbleSize val="0"/>
        </c:dLbls>
        <c:gapWidth val="219"/>
        <c:overlap val="-27"/>
        <c:axId val="375175775"/>
        <c:axId val="375173279"/>
      </c:barChart>
      <c:lineChart>
        <c:grouping val="standard"/>
        <c:varyColors val="0"/>
        <c:ser>
          <c:idx val="1"/>
          <c:order val="1"/>
          <c:tx>
            <c:strRef>
              <c:f>TIKR_Cálculos!$A$61</c:f>
              <c:strCache>
                <c:ptCount val="1"/>
                <c:pt idx="0">
                  <c:v>ROIC</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TIKR_Cálculos!$B$59:$K$59</c:f>
            </c:multiLvlStrRef>
          </c:cat>
          <c:val>
            <c:numRef>
              <c:f>TIKR_Cálculos!$B$61:$K$61</c:f>
              <c:numCache>
                <c:formatCode>0%</c:formatCode>
                <c:ptCount val="10"/>
                <c:pt idx="0">
                  <c:v>0</c:v>
                </c:pt>
                <c:pt idx="1">
                  <c:v>0</c:v>
                </c:pt>
                <c:pt idx="2">
                  <c:v>0</c:v>
                </c:pt>
                <c:pt idx="3">
                  <c:v>0</c:v>
                </c:pt>
                <c:pt idx="4">
                  <c:v>0</c:v>
                </c:pt>
                <c:pt idx="5">
                  <c:v>0</c:v>
                </c:pt>
                <c:pt idx="6">
                  <c:v>0</c:v>
                </c:pt>
                <c:pt idx="7">
                  <c:v>0</c:v>
                </c:pt>
                <c:pt idx="8">
                  <c:v>0</c:v>
                </c:pt>
                <c:pt idx="9">
                  <c:v>0</c:v>
                </c:pt>
              </c:numCache>
            </c:numRef>
          </c:val>
          <c:smooth val="1"/>
          <c:extLst>
            <c:ext xmlns:c16="http://schemas.microsoft.com/office/drawing/2014/chart" uri="{C3380CC4-5D6E-409C-BE32-E72D297353CC}">
              <c16:uniqueId val="{00000001-9FE2-4E89-901A-04EC4532370A}"/>
            </c:ext>
          </c:extLst>
        </c:ser>
        <c:dLbls>
          <c:showLegendKey val="0"/>
          <c:showVal val="0"/>
          <c:showCatName val="0"/>
          <c:showSerName val="0"/>
          <c:showPercent val="0"/>
          <c:showBubbleSize val="0"/>
        </c:dLbls>
        <c:marker val="1"/>
        <c:smooth val="0"/>
        <c:axId val="375179935"/>
        <c:axId val="375174943"/>
      </c:lineChart>
      <c:catAx>
        <c:axId val="37517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3279"/>
        <c:crosses val="autoZero"/>
        <c:auto val="1"/>
        <c:lblAlgn val="ctr"/>
        <c:lblOffset val="100"/>
        <c:noMultiLvlLbl val="0"/>
      </c:catAx>
      <c:valAx>
        <c:axId val="375173279"/>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5775"/>
        <c:crosses val="autoZero"/>
        <c:crossBetween val="between"/>
      </c:valAx>
      <c:valAx>
        <c:axId val="375174943"/>
        <c:scaling>
          <c:orientation val="minMax"/>
          <c:max val="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9935"/>
        <c:crosses val="max"/>
        <c:crossBetween val="between"/>
      </c:valAx>
      <c:catAx>
        <c:axId val="375179935"/>
        <c:scaling>
          <c:orientation val="minMax"/>
        </c:scaling>
        <c:delete val="1"/>
        <c:axPos val="b"/>
        <c:numFmt formatCode="General" sourceLinked="1"/>
        <c:majorTickMark val="out"/>
        <c:minorTickMark val="none"/>
        <c:tickLblPos val="nextTo"/>
        <c:crossAx val="3751749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Costes como % de ventas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stacked"/>
        <c:varyColors val="0"/>
        <c:ser>
          <c:idx val="0"/>
          <c:order val="0"/>
          <c:tx>
            <c:strRef>
              <c:f>TIKR_Cálculos!$A$64</c:f>
              <c:strCache>
                <c:ptCount val="1"/>
                <c:pt idx="0">
                  <c:v>Costes de ventas y operativos</c:v>
                </c:pt>
              </c:strCache>
            </c:strRef>
          </c:tx>
          <c:spPr>
            <a:solidFill>
              <a:schemeClr val="accent1"/>
            </a:solidFill>
            <a:ln>
              <a:noFill/>
            </a:ln>
            <a:effectLst/>
          </c:spPr>
          <c:invertIfNegative val="0"/>
          <c:cat>
            <c:multiLvlStrRef>
              <c:f>TIKR_Cálculos!$B$63:$K$63</c:f>
            </c:multiLvlStrRef>
          </c:cat>
          <c:val>
            <c:numRef>
              <c:f>TIKR_Cálculos!$B$64:$K$64</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C215-46D2-A748-34BD26951EA4}"/>
            </c:ext>
          </c:extLst>
        </c:ser>
        <c:ser>
          <c:idx val="1"/>
          <c:order val="1"/>
          <c:tx>
            <c:strRef>
              <c:f>TIKR_Cálculos!$A$65</c:f>
              <c:strCache>
                <c:ptCount val="1"/>
                <c:pt idx="0">
                  <c:v>CapEx Mant.</c:v>
                </c:pt>
              </c:strCache>
            </c:strRef>
          </c:tx>
          <c:spPr>
            <a:solidFill>
              <a:schemeClr val="accent6"/>
            </a:solidFill>
            <a:ln>
              <a:noFill/>
            </a:ln>
            <a:effectLst/>
          </c:spPr>
          <c:invertIfNegative val="0"/>
          <c:cat>
            <c:multiLvlStrRef>
              <c:f>TIKR_Cálculos!$B$63:$K$63</c:f>
            </c:multiLvlStrRef>
          </c:cat>
          <c:val>
            <c:numRef>
              <c:f>TIKR_Cálculos!$B$65:$K$65</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C215-46D2-A748-34BD26951EA4}"/>
            </c:ext>
          </c:extLst>
        </c:ser>
        <c:ser>
          <c:idx val="2"/>
          <c:order val="2"/>
          <c:tx>
            <c:strRef>
              <c:f>TIKR_Cálculos!$A$66</c:f>
              <c:strCache>
                <c:ptCount val="1"/>
                <c:pt idx="0">
                  <c:v>Intereses</c:v>
                </c:pt>
              </c:strCache>
            </c:strRef>
          </c:tx>
          <c:spPr>
            <a:solidFill>
              <a:schemeClr val="accent3"/>
            </a:solidFill>
            <a:ln>
              <a:noFill/>
            </a:ln>
            <a:effectLst/>
          </c:spPr>
          <c:invertIfNegative val="0"/>
          <c:cat>
            <c:multiLvlStrRef>
              <c:f>TIKR_Cálculos!$B$63:$K$63</c:f>
            </c:multiLvlStrRef>
          </c:cat>
          <c:val>
            <c:numRef>
              <c:f>TIKR_Cálculos!$B$66:$K$66</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C215-46D2-A748-34BD26951EA4}"/>
            </c:ext>
          </c:extLst>
        </c:ser>
        <c:ser>
          <c:idx val="3"/>
          <c:order val="3"/>
          <c:tx>
            <c:strRef>
              <c:f>TIKR_Cálculos!$A$67</c:f>
              <c:strCache>
                <c:ptCount val="1"/>
                <c:pt idx="0">
                  <c:v>Impuestos y otros</c:v>
                </c:pt>
              </c:strCache>
            </c:strRef>
          </c:tx>
          <c:spPr>
            <a:solidFill>
              <a:schemeClr val="bg2">
                <a:lumMod val="75000"/>
              </a:schemeClr>
            </a:solidFill>
            <a:ln>
              <a:noFill/>
            </a:ln>
            <a:effectLst/>
          </c:spPr>
          <c:invertIfNegative val="0"/>
          <c:cat>
            <c:multiLvlStrRef>
              <c:f>TIKR_Cálculos!$B$63:$K$63</c:f>
            </c:multiLvlStrRef>
          </c:cat>
          <c:val>
            <c:numRef>
              <c:f>TIKR_Cálculos!$B$67:$K$67</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3-C215-46D2-A748-34BD26951EA4}"/>
            </c:ext>
          </c:extLst>
        </c:ser>
        <c:ser>
          <c:idx val="4"/>
          <c:order val="4"/>
          <c:tx>
            <c:strRef>
              <c:f>TIKR_Cálculos!$A$68</c:f>
              <c:strCache>
                <c:ptCount val="1"/>
                <c:pt idx="0">
                  <c:v>Cambios de WC</c:v>
                </c:pt>
              </c:strCache>
            </c:strRef>
          </c:tx>
          <c:spPr>
            <a:solidFill>
              <a:schemeClr val="accent5"/>
            </a:solidFill>
            <a:ln>
              <a:noFill/>
            </a:ln>
            <a:effectLst/>
          </c:spPr>
          <c:invertIfNegative val="0"/>
          <c:cat>
            <c:multiLvlStrRef>
              <c:f>TIKR_Cálculos!$B$63:$K$63</c:f>
            </c:multiLvlStrRef>
          </c:cat>
          <c:val>
            <c:numRef>
              <c:f>TIKR_Cálculos!$B$68:$K$68</c:f>
              <c:numCache>
                <c:formatCode>0%</c:formatCode>
                <c:ptCount val="10"/>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4-C215-46D2-A748-34BD26951EA4}"/>
            </c:ext>
          </c:extLst>
        </c:ser>
        <c:dLbls>
          <c:showLegendKey val="0"/>
          <c:showVal val="0"/>
          <c:showCatName val="0"/>
          <c:showSerName val="0"/>
          <c:showPercent val="0"/>
          <c:showBubbleSize val="0"/>
        </c:dLbls>
        <c:gapWidth val="150"/>
        <c:overlap val="100"/>
        <c:axId val="1070261631"/>
        <c:axId val="1070264127"/>
      </c:barChart>
      <c:catAx>
        <c:axId val="107026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070264127"/>
        <c:crosses val="autoZero"/>
        <c:auto val="1"/>
        <c:lblAlgn val="ctr"/>
        <c:lblOffset val="100"/>
        <c:noMultiLvlLbl val="0"/>
      </c:catAx>
      <c:valAx>
        <c:axId val="1070264127"/>
        <c:scaling>
          <c:orientation val="minMax"/>
          <c:min val="0"/>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070261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Asignación de capital (% del FCF)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stacked"/>
        <c:varyColors val="0"/>
        <c:ser>
          <c:idx val="0"/>
          <c:order val="0"/>
          <c:tx>
            <c:strRef>
              <c:f>'2.FCF'!$A$28</c:f>
              <c:strCache>
                <c:ptCount val="1"/>
                <c:pt idx="0">
                  <c:v>CapEx Expansión (crecimiento orgánico)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'2.FCF'!$B$27:$K$27</c:f>
            </c:multiLvlStrRef>
          </c:cat>
          <c:val>
            <c:numRef>
              <c:f>'2.FCF'!$B$28:$K$28</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3650-48E9-9E03-080CB68A3CF8}"/>
            </c:ext>
          </c:extLst>
        </c:ser>
        <c:ser>
          <c:idx val="1"/>
          <c:order val="1"/>
          <c:tx>
            <c:strRef>
              <c:f>'2.FCF'!$A$30</c:f>
              <c:strCache>
                <c:ptCount val="1"/>
                <c:pt idx="0">
                  <c:v>Dividendos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'2.FCF'!$B$27:$K$27</c:f>
            </c:multiLvlStrRef>
          </c:cat>
          <c:val>
            <c:numRef>
              <c:f>'2.FCF'!$B$30:$K$30</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3650-48E9-9E03-080CB68A3CF8}"/>
            </c:ext>
          </c:extLst>
        </c:ser>
        <c:ser>
          <c:idx val="2"/>
          <c:order val="2"/>
          <c:tx>
            <c:strRef>
              <c:f>'2.FCF'!$A$31</c:f>
              <c:strCache>
                <c:ptCount val="1"/>
                <c:pt idx="0">
                  <c:v>Recompras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'2.FCF'!$B$27:$K$27</c:f>
            </c:multiLvlStrRef>
          </c:cat>
          <c:val>
            <c:numRef>
              <c:f>'2.FCF'!$B$31:$K$31</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3650-48E9-9E03-080CB68A3CF8}"/>
            </c:ext>
          </c:extLst>
        </c:ser>
        <c:ser>
          <c:idx val="3"/>
          <c:order val="3"/>
          <c:tx>
            <c:strRef>
              <c:f>'2.FCF'!$A$29</c:f>
              <c:strCache>
                <c:ptCount val="1"/>
                <c:pt idx="0">
                  <c:v>Adquisiciones (crecimiento inorgánico)</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'2.FCF'!$B$27:$K$27</c:f>
            </c:multiLvlStrRef>
          </c:cat>
          <c:val>
            <c:numRef>
              <c:f>'2.FCF'!$B$29:$K$29</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3-3650-48E9-9E03-080CB68A3CF8}"/>
            </c:ext>
          </c:extLst>
        </c:ser>
        <c:dLbls>
          <c:dLblPos val="ctr"/>
          <c:showLegendKey val="0"/>
          <c:showVal val="1"/>
          <c:showCatName val="0"/>
          <c:showSerName val="0"/>
          <c:showPercent val="0"/>
          <c:showBubbleSize val="0"/>
        </c:dLbls>
        <c:gapWidth val="150"/>
        <c:overlap val="100"/>
        <c:axId val="197442640"/>
        <c:axId val="197449296"/>
      </c:barChart>
      <c:catAx>
        <c:axId val="19744264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97449296"/>
        <c:crosses val="autoZero"/>
        <c:auto val="1"/>
        <c:lblAlgn val="ctr"/>
        <c:lblOffset val="100"/>
        <c:noMultiLvlLbl val="0"/>
      </c:catAx>
      <c:valAx>
        <c:axId val="197449296"/>
        <c:scaling>
          <c:orientation val="minMax"/>
          <c:max val="1"/>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97442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13447059</xdr:colOff>
      <xdr:row>0</xdr:row>
      <xdr:rowOff>0</xdr:rowOff>
    </xdr:from>
    <xdr:to>
      <xdr:col>1</xdr:col>
      <xdr:colOff>16266259</xdr:colOff>
      <xdr:row>0</xdr:row>
      <xdr:rowOff>1094418</xdr:rowOff>
    </xdr:to>
    <xdr:pic>
      <xdr:nvPicPr>
        <xdr:cNvPr id="3" name="Imagen 2">
          <a:extLst>
            <a:ext uri="{FF2B5EF4-FFF2-40B4-BE49-F238E27FC236}">
              <a16:creationId xmlns:a16="http://schemas.microsoft.com/office/drawing/2014/main" id="{CD7E0245-0263-49B8-8AFB-FAA8B837701B}"/>
            </a:ext>
          </a:extLst>
        </xdr:cNvPr>
        <xdr:cNvPicPr>
          <a:picLocks noChangeAspect="1"/>
        </xdr:cNvPicPr>
      </xdr:nvPicPr>
      <xdr:blipFill>
        <a:blip xmlns:r="http://schemas.openxmlformats.org/officeDocument/2006/relationships" r:embed="rId1"/>
        <a:stretch>
          <a:fillRect/>
        </a:stretch>
      </xdr:blipFill>
      <xdr:spPr>
        <a:xfrm>
          <a:off x="13738412" y="0"/>
          <a:ext cx="2819200" cy="1094418"/>
        </a:xfrm>
        <a:prstGeom prst="rect">
          <a:avLst/>
        </a:prstGeom>
      </xdr:spPr>
    </xdr:pic>
    <xdr:clientData/>
  </xdr:twoCellAnchor>
  <xdr:twoCellAnchor editAs="oneCell">
    <xdr:from>
      <xdr:col>1</xdr:col>
      <xdr:colOff>8942295</xdr:colOff>
      <xdr:row>2</xdr:row>
      <xdr:rowOff>44824</xdr:rowOff>
    </xdr:from>
    <xdr:to>
      <xdr:col>1</xdr:col>
      <xdr:colOff>11781141</xdr:colOff>
      <xdr:row>6</xdr:row>
      <xdr:rowOff>1517104</xdr:rowOff>
    </xdr:to>
    <xdr:pic>
      <xdr:nvPicPr>
        <xdr:cNvPr id="4" name="Imagen 3">
          <a:extLst>
            <a:ext uri="{FF2B5EF4-FFF2-40B4-BE49-F238E27FC236}">
              <a16:creationId xmlns:a16="http://schemas.microsoft.com/office/drawing/2014/main" id="{AD9CE80F-FE6B-C810-BD00-727FA1E2ACFC}"/>
            </a:ext>
          </a:extLst>
        </xdr:cNvPr>
        <xdr:cNvPicPr>
          <a:picLocks noChangeAspect="1"/>
        </xdr:cNvPicPr>
      </xdr:nvPicPr>
      <xdr:blipFill>
        <a:blip xmlns:r="http://schemas.openxmlformats.org/officeDocument/2006/relationships" r:embed="rId2"/>
        <a:stretch>
          <a:fillRect/>
        </a:stretch>
      </xdr:blipFill>
      <xdr:spPr>
        <a:xfrm>
          <a:off x="9233648" y="1479177"/>
          <a:ext cx="2838846" cy="27721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22412</xdr:colOff>
      <xdr:row>4</xdr:row>
      <xdr:rowOff>11206</xdr:rowOff>
    </xdr:from>
    <xdr:to>
      <xdr:col>17</xdr:col>
      <xdr:colOff>0</xdr:colOff>
      <xdr:row>16</xdr:row>
      <xdr:rowOff>5953</xdr:rowOff>
    </xdr:to>
    <xdr:cxnSp macro="">
      <xdr:nvCxnSpPr>
        <xdr:cNvPr id="4" name="Conector recto de flecha 3">
          <a:extLst>
            <a:ext uri="{FF2B5EF4-FFF2-40B4-BE49-F238E27FC236}">
              <a16:creationId xmlns:a16="http://schemas.microsoft.com/office/drawing/2014/main" id="{54F4CCE1-5A57-11BD-A7A4-078C6D28505B}"/>
            </a:ext>
          </a:extLst>
        </xdr:cNvPr>
        <xdr:cNvCxnSpPr/>
      </xdr:nvCxnSpPr>
      <xdr:spPr>
        <a:xfrm flipH="1" flipV="1">
          <a:off x="15340853" y="1703294"/>
          <a:ext cx="705971" cy="3759924"/>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8283</xdr:colOff>
      <xdr:row>10</xdr:row>
      <xdr:rowOff>8282</xdr:rowOff>
    </xdr:from>
    <xdr:to>
      <xdr:col>17</xdr:col>
      <xdr:colOff>5953</xdr:colOff>
      <xdr:row>16</xdr:row>
      <xdr:rowOff>5953</xdr:rowOff>
    </xdr:to>
    <xdr:cxnSp macro="">
      <xdr:nvCxnSpPr>
        <xdr:cNvPr id="7" name="Conector recto de flecha 6">
          <a:extLst>
            <a:ext uri="{FF2B5EF4-FFF2-40B4-BE49-F238E27FC236}">
              <a16:creationId xmlns:a16="http://schemas.microsoft.com/office/drawing/2014/main" id="{C90E21BB-686B-4A09-BD41-D56D2E4E47FC}"/>
            </a:ext>
          </a:extLst>
        </xdr:cNvPr>
        <xdr:cNvCxnSpPr/>
      </xdr:nvCxnSpPr>
      <xdr:spPr>
        <a:xfrm flipH="1" flipV="1">
          <a:off x="15379252" y="3603970"/>
          <a:ext cx="723951" cy="1890764"/>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0</xdr:colOff>
      <xdr:row>16</xdr:row>
      <xdr:rowOff>5953</xdr:rowOff>
    </xdr:from>
    <xdr:to>
      <xdr:col>17</xdr:col>
      <xdr:colOff>0</xdr:colOff>
      <xdr:row>24</xdr:row>
      <xdr:rowOff>268941</xdr:rowOff>
    </xdr:to>
    <xdr:cxnSp macro="">
      <xdr:nvCxnSpPr>
        <xdr:cNvPr id="12" name="Conector recto de flecha 11">
          <a:extLst>
            <a:ext uri="{FF2B5EF4-FFF2-40B4-BE49-F238E27FC236}">
              <a16:creationId xmlns:a16="http://schemas.microsoft.com/office/drawing/2014/main" id="{E706A7A6-6705-4171-8DA0-F3910E75648F}"/>
            </a:ext>
          </a:extLst>
        </xdr:cNvPr>
        <xdr:cNvCxnSpPr/>
      </xdr:nvCxnSpPr>
      <xdr:spPr>
        <a:xfrm flipH="1">
          <a:off x="15370969" y="5494734"/>
          <a:ext cx="726281" cy="2787113"/>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15</xdr:col>
      <xdr:colOff>821871</xdr:colOff>
      <xdr:row>16</xdr:row>
      <xdr:rowOff>5443</xdr:rowOff>
    </xdr:from>
    <xdr:to>
      <xdr:col>16</xdr:col>
      <xdr:colOff>723900</xdr:colOff>
      <xdr:row>16</xdr:row>
      <xdr:rowOff>8283</xdr:rowOff>
    </xdr:to>
    <xdr:cxnSp macro="">
      <xdr:nvCxnSpPr>
        <xdr:cNvPr id="16" name="Conector recto de flecha 15">
          <a:extLst>
            <a:ext uri="{FF2B5EF4-FFF2-40B4-BE49-F238E27FC236}">
              <a16:creationId xmlns:a16="http://schemas.microsoft.com/office/drawing/2014/main" id="{407ED128-39FF-494B-AAE5-31B6A5137BE1}"/>
            </a:ext>
          </a:extLst>
        </xdr:cNvPr>
        <xdr:cNvCxnSpPr/>
      </xdr:nvCxnSpPr>
      <xdr:spPr>
        <a:xfrm flipH="1">
          <a:off x="15376071" y="5497286"/>
          <a:ext cx="723900" cy="2840"/>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614905</xdr:colOff>
      <xdr:row>18</xdr:row>
      <xdr:rowOff>289367</xdr:rowOff>
    </xdr:from>
    <xdr:to>
      <xdr:col>16</xdr:col>
      <xdr:colOff>144684</xdr:colOff>
      <xdr:row>20</xdr:row>
      <xdr:rowOff>409936</xdr:rowOff>
    </xdr:to>
    <xdr:cxnSp macro="">
      <xdr:nvCxnSpPr>
        <xdr:cNvPr id="5" name="Conector recto de flecha 4">
          <a:extLst>
            <a:ext uri="{FF2B5EF4-FFF2-40B4-BE49-F238E27FC236}">
              <a16:creationId xmlns:a16="http://schemas.microsoft.com/office/drawing/2014/main" id="{138C6371-DB19-2DA0-BC57-9DE27E8B5F0E}"/>
            </a:ext>
          </a:extLst>
        </xdr:cNvPr>
        <xdr:cNvCxnSpPr/>
      </xdr:nvCxnSpPr>
      <xdr:spPr>
        <a:xfrm flipH="1">
          <a:off x="15915190" y="6402247"/>
          <a:ext cx="349652" cy="747531"/>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absolute">
    <xdr:from>
      <xdr:col>12</xdr:col>
      <xdr:colOff>716362</xdr:colOff>
      <xdr:row>26</xdr:row>
      <xdr:rowOff>325124</xdr:rowOff>
    </xdr:from>
    <xdr:to>
      <xdr:col>17</xdr:col>
      <xdr:colOff>1613648</xdr:colOff>
      <xdr:row>50</xdr:row>
      <xdr:rowOff>302559</xdr:rowOff>
    </xdr:to>
    <xdr:graphicFrame macro="">
      <xdr:nvGraphicFramePr>
        <xdr:cNvPr id="5" name="Gráfico 4">
          <a:extLst>
            <a:ext uri="{FF2B5EF4-FFF2-40B4-BE49-F238E27FC236}">
              <a16:creationId xmlns:a16="http://schemas.microsoft.com/office/drawing/2014/main" id="{5708A350-0D40-C43E-49A6-41C73A19CBF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33618</xdr:colOff>
      <xdr:row>4</xdr:row>
      <xdr:rowOff>156883</xdr:rowOff>
    </xdr:from>
    <xdr:to>
      <xdr:col>16</xdr:col>
      <xdr:colOff>963706</xdr:colOff>
      <xdr:row>4</xdr:row>
      <xdr:rowOff>156883</xdr:rowOff>
    </xdr:to>
    <xdr:cxnSp macro="">
      <xdr:nvCxnSpPr>
        <xdr:cNvPr id="3" name="Conector recto de flecha 2">
          <a:extLst>
            <a:ext uri="{FF2B5EF4-FFF2-40B4-BE49-F238E27FC236}">
              <a16:creationId xmlns:a16="http://schemas.microsoft.com/office/drawing/2014/main" id="{F17C575E-5B65-3C67-E5D7-07FEA6A4D35F}"/>
            </a:ext>
          </a:extLst>
        </xdr:cNvPr>
        <xdr:cNvCxnSpPr/>
      </xdr:nvCxnSpPr>
      <xdr:spPr>
        <a:xfrm flipH="1">
          <a:off x="14399559" y="1848971"/>
          <a:ext cx="930088" cy="0"/>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0</xdr:colOff>
      <xdr:row>19</xdr:row>
      <xdr:rowOff>7327</xdr:rowOff>
    </xdr:from>
    <xdr:to>
      <xdr:col>3</xdr:col>
      <xdr:colOff>769327</xdr:colOff>
      <xdr:row>23</xdr:row>
      <xdr:rowOff>14654</xdr:rowOff>
    </xdr:to>
    <xdr:cxnSp macro="">
      <xdr:nvCxnSpPr>
        <xdr:cNvPr id="9" name="Conector recto de flecha 8">
          <a:extLst>
            <a:ext uri="{FF2B5EF4-FFF2-40B4-BE49-F238E27FC236}">
              <a16:creationId xmlns:a16="http://schemas.microsoft.com/office/drawing/2014/main" id="{7D83C154-05CC-4F03-873D-E178BBCF8A67}"/>
            </a:ext>
          </a:extLst>
        </xdr:cNvPr>
        <xdr:cNvCxnSpPr/>
      </xdr:nvCxnSpPr>
      <xdr:spPr>
        <a:xfrm flipH="1" flipV="1">
          <a:off x="3927231" y="4857750"/>
          <a:ext cx="1589942" cy="1267558"/>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36634</xdr:colOff>
      <xdr:row>23</xdr:row>
      <xdr:rowOff>7327</xdr:rowOff>
    </xdr:from>
    <xdr:to>
      <xdr:col>3</xdr:col>
      <xdr:colOff>776654</xdr:colOff>
      <xdr:row>23</xdr:row>
      <xdr:rowOff>7327</xdr:rowOff>
    </xdr:to>
    <xdr:cxnSp macro="">
      <xdr:nvCxnSpPr>
        <xdr:cNvPr id="4" name="Conector recto de flecha 3">
          <a:extLst>
            <a:ext uri="{FF2B5EF4-FFF2-40B4-BE49-F238E27FC236}">
              <a16:creationId xmlns:a16="http://schemas.microsoft.com/office/drawing/2014/main" id="{6F31DF1B-0E80-46D2-B791-252F5199AFCD}"/>
            </a:ext>
          </a:extLst>
        </xdr:cNvPr>
        <xdr:cNvCxnSpPr/>
      </xdr:nvCxnSpPr>
      <xdr:spPr>
        <a:xfrm flipH="1">
          <a:off x="3963865" y="6117981"/>
          <a:ext cx="1560635" cy="0"/>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12</xdr:col>
      <xdr:colOff>728383</xdr:colOff>
      <xdr:row>17</xdr:row>
      <xdr:rowOff>158001</xdr:rowOff>
    </xdr:from>
    <xdr:to>
      <xdr:col>18</xdr:col>
      <xdr:colOff>0</xdr:colOff>
      <xdr:row>26</xdr:row>
      <xdr:rowOff>403411</xdr:rowOff>
    </xdr:to>
    <xdr:graphicFrame macro="">
      <xdr:nvGraphicFramePr>
        <xdr:cNvPr id="21" name="Gráfico 20">
          <a:extLst>
            <a:ext uri="{FF2B5EF4-FFF2-40B4-BE49-F238E27FC236}">
              <a16:creationId xmlns:a16="http://schemas.microsoft.com/office/drawing/2014/main" id="{0282FF17-8871-AECC-B694-FCC7E986B7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156881</xdr:colOff>
      <xdr:row>0</xdr:row>
      <xdr:rowOff>0</xdr:rowOff>
    </xdr:from>
    <xdr:to>
      <xdr:col>11</xdr:col>
      <xdr:colOff>17728</xdr:colOff>
      <xdr:row>0</xdr:row>
      <xdr:rowOff>1094418</xdr:rowOff>
    </xdr:to>
    <xdr:pic>
      <xdr:nvPicPr>
        <xdr:cNvPr id="2" name="Imagen 1">
          <a:extLst>
            <a:ext uri="{FF2B5EF4-FFF2-40B4-BE49-F238E27FC236}">
              <a16:creationId xmlns:a16="http://schemas.microsoft.com/office/drawing/2014/main" id="{C6AB85CA-365B-4A78-B906-74B4619B27E0}"/>
            </a:ext>
          </a:extLst>
        </xdr:cNvPr>
        <xdr:cNvPicPr>
          <a:picLocks noChangeAspect="1"/>
        </xdr:cNvPicPr>
      </xdr:nvPicPr>
      <xdr:blipFill>
        <a:blip xmlns:r="http://schemas.openxmlformats.org/officeDocument/2006/relationships" r:embed="rId1"/>
        <a:stretch>
          <a:fillRect/>
        </a:stretch>
      </xdr:blipFill>
      <xdr:spPr>
        <a:xfrm>
          <a:off x="10847293" y="0"/>
          <a:ext cx="2819200" cy="1094418"/>
        </a:xfrm>
        <a:prstGeom prst="rect">
          <a:avLst/>
        </a:prstGeom>
      </xdr:spPr>
    </xdr:pic>
    <xdr:clientData/>
  </xdr:twoCellAnchor>
  <xdr:twoCellAnchor editAs="oneCell">
    <xdr:from>
      <xdr:col>6</xdr:col>
      <xdr:colOff>112059</xdr:colOff>
      <xdr:row>0</xdr:row>
      <xdr:rowOff>156882</xdr:rowOff>
    </xdr:from>
    <xdr:to>
      <xdr:col>7</xdr:col>
      <xdr:colOff>40341</xdr:colOff>
      <xdr:row>0</xdr:row>
      <xdr:rowOff>1176057</xdr:rowOff>
    </xdr:to>
    <xdr:pic>
      <xdr:nvPicPr>
        <xdr:cNvPr id="10" name="Imagen 9">
          <a:extLst>
            <a:ext uri="{FF2B5EF4-FFF2-40B4-BE49-F238E27FC236}">
              <a16:creationId xmlns:a16="http://schemas.microsoft.com/office/drawing/2014/main" id="{48D5EC5F-CE57-84D3-3E8E-5B8AC0A0C4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30235" y="156882"/>
          <a:ext cx="914400"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695326</xdr:colOff>
      <xdr:row>16</xdr:row>
      <xdr:rowOff>66675</xdr:rowOff>
    </xdr:from>
    <xdr:to>
      <xdr:col>14</xdr:col>
      <xdr:colOff>200026</xdr:colOff>
      <xdr:row>30</xdr:row>
      <xdr:rowOff>424392</xdr:rowOff>
    </xdr:to>
    <xdr:graphicFrame macro="">
      <xdr:nvGraphicFramePr>
        <xdr:cNvPr id="3" name="Gráfico 2">
          <a:extLst>
            <a:ext uri="{FF2B5EF4-FFF2-40B4-BE49-F238E27FC236}">
              <a16:creationId xmlns:a16="http://schemas.microsoft.com/office/drawing/2014/main" id="{692A42CB-4EF4-42FB-94F0-7726DF96A5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585786</xdr:colOff>
      <xdr:row>1</xdr:row>
      <xdr:rowOff>38099</xdr:rowOff>
    </xdr:from>
    <xdr:to>
      <xdr:col>5</xdr:col>
      <xdr:colOff>581025</xdr:colOff>
      <xdr:row>15</xdr:row>
      <xdr:rowOff>85725</xdr:rowOff>
    </xdr:to>
    <xdr:graphicFrame macro="">
      <xdr:nvGraphicFramePr>
        <xdr:cNvPr id="4" name="Gráfico 3">
          <a:extLst>
            <a:ext uri="{FF2B5EF4-FFF2-40B4-BE49-F238E27FC236}">
              <a16:creationId xmlns:a16="http://schemas.microsoft.com/office/drawing/2014/main" id="{7D2E425C-637E-4384-BC71-A3837551BE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4761</xdr:colOff>
      <xdr:row>1</xdr:row>
      <xdr:rowOff>9525</xdr:rowOff>
    </xdr:from>
    <xdr:to>
      <xdr:col>14</xdr:col>
      <xdr:colOff>209549</xdr:colOff>
      <xdr:row>15</xdr:row>
      <xdr:rowOff>142875</xdr:rowOff>
    </xdr:to>
    <xdr:graphicFrame macro="">
      <xdr:nvGraphicFramePr>
        <xdr:cNvPr id="5" name="Gráfico 4">
          <a:extLst>
            <a:ext uri="{FF2B5EF4-FFF2-40B4-BE49-F238E27FC236}">
              <a16:creationId xmlns:a16="http://schemas.microsoft.com/office/drawing/2014/main" id="{5522EACC-80EC-4E8C-9596-3452C9E6DD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142875</xdr:colOff>
      <xdr:row>0</xdr:row>
      <xdr:rowOff>0</xdr:rowOff>
    </xdr:from>
    <xdr:to>
      <xdr:col>18</xdr:col>
      <xdr:colOff>676075</xdr:colOff>
      <xdr:row>2</xdr:row>
      <xdr:rowOff>46668</xdr:rowOff>
    </xdr:to>
    <xdr:pic>
      <xdr:nvPicPr>
        <xdr:cNvPr id="6" name="Imagen 5">
          <a:extLst>
            <a:ext uri="{FF2B5EF4-FFF2-40B4-BE49-F238E27FC236}">
              <a16:creationId xmlns:a16="http://schemas.microsoft.com/office/drawing/2014/main" id="{46D2EBAA-8FF7-4E6F-B4C1-FD19720376F7}"/>
            </a:ext>
          </a:extLst>
        </xdr:cNvPr>
        <xdr:cNvPicPr>
          <a:picLocks noChangeAspect="1"/>
        </xdr:cNvPicPr>
      </xdr:nvPicPr>
      <xdr:blipFill>
        <a:blip xmlns:r="http://schemas.openxmlformats.org/officeDocument/2006/relationships" r:embed="rId4"/>
        <a:stretch>
          <a:fillRect/>
        </a:stretch>
      </xdr:blipFill>
      <xdr:spPr>
        <a:xfrm>
          <a:off x="12277725" y="0"/>
          <a:ext cx="2819200" cy="1094418"/>
        </a:xfrm>
        <a:prstGeom prst="rect">
          <a:avLst/>
        </a:prstGeom>
      </xdr:spPr>
    </xdr:pic>
    <xdr:clientData/>
  </xdr:twoCellAnchor>
  <xdr:twoCellAnchor>
    <xdr:from>
      <xdr:col>0</xdr:col>
      <xdr:colOff>552978</xdr:colOff>
      <xdr:row>15</xdr:row>
      <xdr:rowOff>85724</xdr:rowOff>
    </xdr:from>
    <xdr:to>
      <xdr:col>5</xdr:col>
      <xdr:colOff>428625</xdr:colOff>
      <xdr:row>30</xdr:row>
      <xdr:rowOff>436032</xdr:rowOff>
    </xdr:to>
    <xdr:graphicFrame macro="">
      <xdr:nvGraphicFramePr>
        <xdr:cNvPr id="8" name="Gráfico 7">
          <a:extLst>
            <a:ext uri="{FF2B5EF4-FFF2-40B4-BE49-F238E27FC236}">
              <a16:creationId xmlns:a16="http://schemas.microsoft.com/office/drawing/2014/main" id="{4E7EA570-CF8A-442F-979E-8408D9A1F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695325</xdr:colOff>
      <xdr:row>31</xdr:row>
      <xdr:rowOff>238124</xdr:rowOff>
    </xdr:from>
    <xdr:to>
      <xdr:col>5</xdr:col>
      <xdr:colOff>571500</xdr:colOff>
      <xdr:row>46</xdr:row>
      <xdr:rowOff>114299</xdr:rowOff>
    </xdr:to>
    <xdr:graphicFrame macro="">
      <xdr:nvGraphicFramePr>
        <xdr:cNvPr id="2" name="Gráfico 1">
          <a:extLst>
            <a:ext uri="{FF2B5EF4-FFF2-40B4-BE49-F238E27FC236}">
              <a16:creationId xmlns:a16="http://schemas.microsoft.com/office/drawing/2014/main" id="{25653DDA-CDB6-41CD-B0A1-B94CE45B6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238124</xdr:colOff>
      <xdr:row>0</xdr:row>
      <xdr:rowOff>204787</xdr:rowOff>
    </xdr:from>
    <xdr:to>
      <xdr:col>5</xdr:col>
      <xdr:colOff>3057324</xdr:colOff>
      <xdr:row>3</xdr:row>
      <xdr:rowOff>322892</xdr:rowOff>
    </xdr:to>
    <xdr:pic>
      <xdr:nvPicPr>
        <xdr:cNvPr id="4" name="Imagen 3">
          <a:extLst>
            <a:ext uri="{FF2B5EF4-FFF2-40B4-BE49-F238E27FC236}">
              <a16:creationId xmlns:a16="http://schemas.microsoft.com/office/drawing/2014/main" id="{ED121E3B-C21F-4C47-81D0-99F9FB460CC4}"/>
            </a:ext>
          </a:extLst>
        </xdr:cNvPr>
        <xdr:cNvPicPr>
          <a:picLocks noChangeAspect="1"/>
        </xdr:cNvPicPr>
      </xdr:nvPicPr>
      <xdr:blipFill>
        <a:blip xmlns:r="http://schemas.openxmlformats.org/officeDocument/2006/relationships" r:embed="rId1"/>
        <a:stretch>
          <a:fillRect/>
        </a:stretch>
      </xdr:blipFill>
      <xdr:spPr>
        <a:xfrm>
          <a:off x="18788062" y="204787"/>
          <a:ext cx="2819200" cy="1094418"/>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5C744F-6821-4010-B04C-2A04F830E376}" name="Tabla3" displayName="Tabla3" ref="A2:P26" headerRowCount="0" totalsRowShown="0" headerRowDxfId="51" dataDxfId="50" tableBorderDxfId="49">
  <tableColumns count="16">
    <tableColumn id="1" xr3:uid="{A6785006-F8E5-4C64-9FD0-27A59A5D5C99}" name="Columna1" dataDxfId="48" totalsRowDxfId="47"/>
    <tableColumn id="2" xr3:uid="{981C2CA3-CAE8-4430-949B-243AE4AAF960}" name="Columna2" dataDxfId="46" totalsRowDxfId="45"/>
    <tableColumn id="3" xr3:uid="{05B4E26C-7803-4FE4-9783-4211E3EEA32B}" name="Columna3" dataDxfId="44" totalsRowDxfId="43"/>
    <tableColumn id="4" xr3:uid="{8DA5225F-2555-474C-8C27-E7A1FC21344A}" name="Columna4" dataDxfId="42" totalsRowDxfId="41"/>
    <tableColumn id="5" xr3:uid="{19F8591C-4479-413D-B705-650B30DEF405}" name="Columna5" dataDxfId="40" totalsRowDxfId="39"/>
    <tableColumn id="6" xr3:uid="{1941A256-8DCA-4A7E-AD52-B81EA09BA49A}" name="Columna6" dataDxfId="38" totalsRowDxfId="37"/>
    <tableColumn id="7" xr3:uid="{CF06C5C2-7817-4507-BFA7-43D9A7684B99}" name="Columna7" dataDxfId="36" totalsRowDxfId="35"/>
    <tableColumn id="8" xr3:uid="{A6CC500A-793E-4AC7-A805-E9B1D5055605}" name="Columna8" dataDxfId="34" totalsRowDxfId="33"/>
    <tableColumn id="26" xr3:uid="{0B545C41-E67D-4483-9C98-FA37E48CE39B}" name="Columna14" dataDxfId="32" totalsRowDxfId="31">
      <calculatedColumnFormula>IFERROR(YEAR(VLOOKUP("Income Statement*",'7.TIKR_IS'!$A:$K,COLUMN(I3),FALSE)),H2+1)</calculatedColumnFormula>
    </tableColumn>
    <tableColumn id="27" xr3:uid="{152C1E1C-8951-461E-9BC4-D433CDB80813}" name="Columna15" dataDxfId="30" totalsRowDxfId="29">
      <calculatedColumnFormula>IFERROR(YEAR(VLOOKUP("Income Statement*",'7.TIKR_IS'!$A:$K,COLUMN(J3),FALSE)),I2+1)</calculatedColumnFormula>
    </tableColumn>
    <tableColumn id="28" xr3:uid="{8F4400F9-2BC0-43E5-A7FC-855F8DABA093}" name="Columna16" dataDxfId="28" totalsRowDxfId="27">
      <calculatedColumnFormula>IFERROR(YEAR(VLOOKUP("Income Statement*",'7.TIKR_IS'!$A:$K,COLUMN(K3),FALSE)),J2+1)</calculatedColumnFormula>
    </tableColumn>
    <tableColumn id="9" xr3:uid="{6B4891E9-5875-43D0-AAAA-C9094399640F}" name="Columna9" dataDxfId="26" totalsRowDxfId="25"/>
    <tableColumn id="10" xr3:uid="{41432F5A-0AFB-469C-9CA5-86091AA8061A}" name="Columna10" dataDxfId="24" totalsRowDxfId="23"/>
    <tableColumn id="11" xr3:uid="{A781D52B-7709-4D76-9137-322146222404}" name="Columna11" dataDxfId="22" totalsRowDxfId="21"/>
    <tableColumn id="12" xr3:uid="{51F4EFE8-3D05-4C21-A43C-A2D80156AEF7}" name="Columna12" dataDxfId="20" totalsRowDxfId="19"/>
    <tableColumn id="13" xr3:uid="{A5653B19-9C81-444D-A0FD-CC4A9CE1A8AA}" name="Columna13" dataDxfId="18" totalsRowDxfId="17"/>
  </tableColumns>
  <tableStyleInfo name="TableStyleLight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12.bin"/><Relationship Id="rId4" Type="http://schemas.openxmlformats.org/officeDocument/2006/relationships/comments" Target="../comments5.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C7CDC-1735-4D2B-9DFA-DC9FA9A30865}">
  <sheetPr codeName="Hoja1"/>
  <dimension ref="A1:O51"/>
  <sheetViews>
    <sheetView showGridLines="0" topLeftCell="A7" zoomScale="85" zoomScaleNormal="85" workbookViewId="0">
      <selection activeCell="B27" sqref="B27"/>
    </sheetView>
  </sheetViews>
  <sheetFormatPr baseColWidth="10" defaultColWidth="0" defaultRowHeight="15" zeroHeight="1" x14ac:dyDescent="0.2"/>
  <cols>
    <col min="1" max="1" width="4.33203125" customWidth="1"/>
    <col min="2" max="2" width="255.6640625" customWidth="1"/>
    <col min="3" max="3" width="13.5" customWidth="1"/>
    <col min="4" max="15" width="0" hidden="1" customWidth="1"/>
    <col min="16" max="16384" width="11.5" hidden="1"/>
  </cols>
  <sheetData>
    <row r="1" spans="2:2" ht="87" customHeight="1" x14ac:dyDescent="0.2"/>
    <row r="2" spans="2:2" ht="25.5" customHeight="1" x14ac:dyDescent="0.2">
      <c r="B2" s="170" t="s">
        <v>226</v>
      </c>
    </row>
    <row r="3" spans="2:2" ht="25.5" customHeight="1" x14ac:dyDescent="0.2">
      <c r="B3" s="98" t="s">
        <v>227</v>
      </c>
    </row>
    <row r="4" spans="2:2" ht="25.5" customHeight="1" x14ac:dyDescent="0.2">
      <c r="B4" s="292" t="s">
        <v>228</v>
      </c>
    </row>
    <row r="5" spans="2:2" ht="25.5" customHeight="1" x14ac:dyDescent="0.2">
      <c r="B5" s="292" t="s">
        <v>229</v>
      </c>
    </row>
    <row r="6" spans="2:2" ht="25.5" customHeight="1" x14ac:dyDescent="0.2">
      <c r="B6" s="292" t="s">
        <v>230</v>
      </c>
    </row>
    <row r="7" spans="2:2" ht="123" customHeight="1" x14ac:dyDescent="0.2">
      <c r="B7" s="3"/>
    </row>
    <row r="8" spans="2:2" ht="22" x14ac:dyDescent="0.2">
      <c r="B8" s="170" t="s">
        <v>156</v>
      </c>
    </row>
    <row r="9" spans="2:2" ht="10" customHeight="1" x14ac:dyDescent="0.2">
      <c r="B9" s="20"/>
    </row>
    <row r="10" spans="2:2" ht="17" customHeight="1" x14ac:dyDescent="0.2">
      <c r="B10" s="98" t="s">
        <v>211</v>
      </c>
    </row>
    <row r="11" spans="2:2" ht="10" customHeight="1" x14ac:dyDescent="0.2">
      <c r="B11" s="98"/>
    </row>
    <row r="12" spans="2:2" ht="17" customHeight="1" x14ac:dyDescent="0.2">
      <c r="B12" s="98" t="s">
        <v>152</v>
      </c>
    </row>
    <row r="13" spans="2:2" ht="10" customHeight="1" x14ac:dyDescent="0.2">
      <c r="B13" s="98"/>
    </row>
    <row r="14" spans="2:2" ht="17" customHeight="1" x14ac:dyDescent="0.2">
      <c r="B14" s="98" t="s">
        <v>212</v>
      </c>
    </row>
    <row r="15" spans="2:2" ht="10" customHeight="1" x14ac:dyDescent="0.2">
      <c r="B15" s="98"/>
    </row>
    <row r="16" spans="2:2" ht="17" customHeight="1" x14ac:dyDescent="0.2">
      <c r="B16" s="99" t="s">
        <v>128</v>
      </c>
    </row>
    <row r="17" spans="2:2" ht="10" customHeight="1" x14ac:dyDescent="0.2">
      <c r="B17" s="99"/>
    </row>
    <row r="18" spans="2:2" ht="34" x14ac:dyDescent="0.2">
      <c r="B18" s="223" t="s">
        <v>173</v>
      </c>
    </row>
    <row r="19" spans="2:2" ht="10" customHeight="1" x14ac:dyDescent="0.2">
      <c r="B19" s="99"/>
    </row>
    <row r="20" spans="2:2" ht="17" customHeight="1" x14ac:dyDescent="0.2">
      <c r="B20" s="99" t="s">
        <v>176</v>
      </c>
    </row>
    <row r="21" spans="2:2" ht="16" x14ac:dyDescent="0.2">
      <c r="B21" s="53" t="s">
        <v>150</v>
      </c>
    </row>
    <row r="22" spans="2:2" ht="22" x14ac:dyDescent="0.2">
      <c r="B22" s="170" t="s">
        <v>225</v>
      </c>
    </row>
    <row r="23" spans="2:2" ht="10" customHeight="1" x14ac:dyDescent="0.2">
      <c r="B23" s="53"/>
    </row>
    <row r="24" spans="2:2" ht="18" x14ac:dyDescent="0.2">
      <c r="B24" s="229" t="s">
        <v>231</v>
      </c>
    </row>
    <row r="25" spans="2:2" ht="10" customHeight="1" x14ac:dyDescent="0.2">
      <c r="B25" s="229"/>
    </row>
    <row r="26" spans="2:2" ht="17" customHeight="1" x14ac:dyDescent="0.2">
      <c r="B26" s="229" t="s">
        <v>244</v>
      </c>
    </row>
    <row r="27" spans="2:2" ht="8" customHeight="1" x14ac:dyDescent="0.2">
      <c r="B27" s="53"/>
    </row>
    <row r="28" spans="2:2" ht="17" customHeight="1" x14ac:dyDescent="0.2">
      <c r="B28" s="98"/>
    </row>
    <row r="29" spans="2:2" ht="17" customHeight="1" x14ac:dyDescent="0.2">
      <c r="B29" s="53"/>
    </row>
    <row r="30" spans="2:2" x14ac:dyDescent="0.2"/>
    <row r="31" spans="2:2" ht="8" customHeight="1" x14ac:dyDescent="0.2">
      <c r="B31" s="53"/>
    </row>
    <row r="32" spans="2:2" ht="17" customHeight="1" x14ac:dyDescent="0.2">
      <c r="B32" s="98"/>
    </row>
    <row r="33" spans="2:2" ht="15" customHeight="1" x14ac:dyDescent="0.2">
      <c r="B33" s="53"/>
    </row>
    <row r="34" spans="2:2" ht="17" customHeight="1" x14ac:dyDescent="0.2">
      <c r="B34" s="98"/>
    </row>
    <row r="35" spans="2:2" x14ac:dyDescent="0.2"/>
    <row r="36" spans="2:2" x14ac:dyDescent="0.2"/>
    <row r="37" spans="2:2" x14ac:dyDescent="0.2"/>
    <row r="38" spans="2:2" x14ac:dyDescent="0.2"/>
    <row r="39" spans="2:2" x14ac:dyDescent="0.2"/>
    <row r="40" spans="2:2" x14ac:dyDescent="0.2"/>
    <row r="41" spans="2:2" x14ac:dyDescent="0.2"/>
    <row r="42" spans="2:2" x14ac:dyDescent="0.2"/>
    <row r="43" spans="2:2" x14ac:dyDescent="0.2"/>
    <row r="44" spans="2:2" x14ac:dyDescent="0.2"/>
    <row r="45" spans="2:2" x14ac:dyDescent="0.2"/>
    <row r="46" spans="2:2" x14ac:dyDescent="0.2"/>
    <row r="47" spans="2:2" x14ac:dyDescent="0.2"/>
    <row r="48" spans="2:2" x14ac:dyDescent="0.2"/>
    <row r="49" x14ac:dyDescent="0.2"/>
    <row r="50" x14ac:dyDescent="0.2"/>
    <row r="51" x14ac:dyDescent="0.2"/>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1:X58"/>
  <sheetViews>
    <sheetView showGridLines="0" tabSelected="1" zoomScale="85" zoomScaleNormal="85" workbookViewId="0">
      <pane xSplit="1" ySplit="2" topLeftCell="B3" activePane="bottomRight" state="frozen"/>
      <selection pane="topRight" activeCell="B1" sqref="B1"/>
      <selection pane="bottomLeft" activeCell="A3" sqref="A3"/>
      <selection pane="bottomRight"/>
    </sheetView>
  </sheetViews>
  <sheetFormatPr baseColWidth="10" defaultColWidth="0" defaultRowHeight="16" zeroHeight="1" x14ac:dyDescent="0.2"/>
  <cols>
    <col min="1" max="1" width="45.6640625" style="4" customWidth="1"/>
    <col min="2" max="16" width="12.33203125" style="5" customWidth="1"/>
    <col min="17" max="17" width="10.83203125" style="4" customWidth="1"/>
    <col min="18" max="18" width="28.5" style="4" customWidth="1"/>
    <col min="19" max="19" width="19.1640625" style="5" customWidth="1"/>
    <col min="20" max="20" width="1.33203125" style="6" customWidth="1"/>
    <col min="21" max="22" width="11.5" style="6" hidden="1" customWidth="1"/>
    <col min="23" max="24" width="0" style="6" hidden="1" customWidth="1"/>
    <col min="25" max="16384" width="11.5" style="6" hidden="1"/>
  </cols>
  <sheetData>
    <row r="1" spans="1:22" s="2" customFormat="1" ht="49.5" customHeight="1" x14ac:dyDescent="0.2">
      <c r="B1" s="17" t="s">
        <v>68</v>
      </c>
      <c r="C1" s="3"/>
      <c r="D1" s="3"/>
      <c r="E1" s="3"/>
      <c r="F1" s="3"/>
      <c r="G1" s="304" t="str">
        <f>IF(TIKR_Cálculos!B85,TIKR_Cálculos!C85,
IF(TIKR_Cálculos!B86,TIKR_Cálculos!C86,
IF(TIKR_Cálculos!B87,TIKR_Cálculos!C87,"")))</f>
        <v/>
      </c>
      <c r="H1" s="304"/>
      <c r="I1" s="304"/>
      <c r="J1" s="304"/>
      <c r="K1" s="304"/>
      <c r="L1" s="304"/>
      <c r="M1" s="304"/>
      <c r="N1" s="304"/>
      <c r="O1" s="300" t="e" vm="1">
        <v>#VALUE!</v>
      </c>
      <c r="P1" s="300"/>
      <c r="Q1"/>
      <c r="R1"/>
      <c r="S1" s="3"/>
      <c r="T1" s="1"/>
      <c r="U1" s="1"/>
    </row>
    <row r="2" spans="1:22" ht="35" customHeight="1" x14ac:dyDescent="0.2">
      <c r="A2" s="102" t="s">
        <v>66</v>
      </c>
      <c r="B2" s="291" t="str">
        <f>IFERROR(IF(VLOOKUP("Income Statement*",'7.TIKR_IS'!$A:$K,COLUMN(B3),FALSE)="","",IFERROR(YEAR(VLOOKUP("Income Statement*",'7.TIKR_IS'!$A:$K,COLUMN(B3),FALSE)),"2015")),"")</f>
        <v/>
      </c>
      <c r="C2" s="291" t="str">
        <f>IFERROR(IF(VLOOKUP("Income Statement*",'7.TIKR_IS'!$A:$K,COLUMN(C3),FALSE)="","",IFERROR(YEAR(VLOOKUP("Income Statement*",'7.TIKR_IS'!$A:$K,COLUMN(C3),FALSE)),B2+1)),"")</f>
        <v/>
      </c>
      <c r="D2" s="291" t="str">
        <f>IFERROR(IF(VLOOKUP("Income Statement*",'7.TIKR_IS'!$A:$K,COLUMN(D3),FALSE)="","",IFERROR(YEAR(VLOOKUP("Income Statement*",'7.TIKR_IS'!$A:$K,COLUMN(D3),FALSE)),C2+1)),"")</f>
        <v/>
      </c>
      <c r="E2" s="291" t="str">
        <f>IFERROR(IF(VLOOKUP("Income Statement*",'7.TIKR_IS'!$A:$K,COLUMN(E3),FALSE)="","",IFERROR(YEAR(VLOOKUP("Income Statement*",'7.TIKR_IS'!$A:$K,COLUMN(E3),FALSE)),D2+1)),"")</f>
        <v/>
      </c>
      <c r="F2" s="291" t="str">
        <f>IFERROR(IF(VLOOKUP("Income Statement*",'7.TIKR_IS'!$A:$K,COLUMN(F3),FALSE)="","",IFERROR(YEAR(VLOOKUP("Income Statement*",'7.TIKR_IS'!$A:$K,COLUMN(F3),FALSE)),E2+1)),"")</f>
        <v/>
      </c>
      <c r="G2" s="291" t="str">
        <f>IFERROR(IF(VLOOKUP("Income Statement*",'7.TIKR_IS'!$A:$K,COLUMN(G3),FALSE)="","",IFERROR(YEAR(VLOOKUP("Income Statement*",'7.TIKR_IS'!$A:$K,COLUMN(G3),FALSE)),F2+1)),"")</f>
        <v/>
      </c>
      <c r="H2" s="291" t="str">
        <f>IFERROR(IF(VLOOKUP("Income Statement*",'7.TIKR_IS'!$A:$K,COLUMN(H3),FALSE)="","",IFERROR(YEAR(VLOOKUP("Income Statement*",'7.TIKR_IS'!$A:$K,COLUMN(H3),FALSE)),G2+1)),"")</f>
        <v/>
      </c>
      <c r="I2" s="291" t="str">
        <f>IFERROR(IF(VLOOKUP("Income Statement*",'7.TIKR_IS'!$A:$K,COLUMN(I3),FALSE)="","",IFERROR(YEAR(VLOOKUP("Income Statement*",'7.TIKR_IS'!$A:$K,COLUMN(I3),FALSE)),H2+1)),"")</f>
        <v/>
      </c>
      <c r="J2" s="291" t="str">
        <f>IFERROR(IF(VLOOKUP("Income Statement*",'7.TIKR_IS'!$A:$K,COLUMN(J3),FALSE)="","",IFERROR(YEAR(VLOOKUP("Income Statement*",'7.TIKR_IS'!$A:$K,COLUMN(J3),FALSE)),I2+1)),"")</f>
        <v/>
      </c>
      <c r="K2" s="291" t="str">
        <f>IFERROR(IF(VLOOKUP("Income Statement*",'7.TIKR_IS'!$A:$K,COLUMN(K3),FALSE)="","",IFERROR(YEAR(VLOOKUP("Income Statement*",'7.TIKR_IS'!$A:$K,COLUMN(K3),FALSE)),J2+1)),"")</f>
        <v/>
      </c>
      <c r="L2" s="8" t="str">
        <f>IF(K2&lt;&gt;"",(K2+1)&amp;"e","")</f>
        <v/>
      </c>
      <c r="M2" s="8" t="str">
        <f>IF(L2&lt;&gt;"",(LEFT(L2,4)+1)&amp;"e","")</f>
        <v/>
      </c>
      <c r="N2" s="8" t="str">
        <f t="shared" ref="N2:P2" si="0">IF(M2&lt;&gt;"",(LEFT(M2,4)+1)&amp;"e","")</f>
        <v/>
      </c>
      <c r="O2" s="8" t="str">
        <f t="shared" si="0"/>
        <v/>
      </c>
      <c r="P2" s="8" t="str">
        <f t="shared" si="0"/>
        <v/>
      </c>
      <c r="R2" s="288"/>
      <c r="S2" s="287" t="e" cm="1">
        <f t="array" ref="S2">"CAGR "&amp;CHAR(10)&amp;INDEX(B2:K2,MATCH(TRUE,VALUE(B2:K2)&gt;0,))&amp;" - "&amp;K2</f>
        <v>#N/A</v>
      </c>
      <c r="T2" s="27"/>
      <c r="U2" s="27"/>
      <c r="V2" s="27"/>
    </row>
    <row r="3" spans="1:22" ht="25" customHeight="1" thickBot="1" x14ac:dyDescent="0.25">
      <c r="A3" s="111" t="s">
        <v>7</v>
      </c>
      <c r="B3" s="104" t="str">
        <f>IFERROR(VLOOKUP("Total Revenues*",'7.TIKR_IS'!$A:$K,COLUMN(B3),FALSE),"0")</f>
        <v>0</v>
      </c>
      <c r="C3" s="56" t="str">
        <f>IFERROR(VLOOKUP("Total Revenues*",'7.TIKR_IS'!$A:$K,COLUMN(C3),FALSE),"0")</f>
        <v>0</v>
      </c>
      <c r="D3" s="56" t="str">
        <f>IFERROR(VLOOKUP("Total Revenues*",'7.TIKR_IS'!$A:$K,COLUMN(D3),FALSE),"0")</f>
        <v>0</v>
      </c>
      <c r="E3" s="56" t="str">
        <f>IFERROR(VLOOKUP("Total Revenues*",'7.TIKR_IS'!$A:$K,COLUMN(E3),FALSE),"0")</f>
        <v>0</v>
      </c>
      <c r="F3" s="56" t="str">
        <f>IFERROR(VLOOKUP("Total Revenues*",'7.TIKR_IS'!$A:$K,COLUMN(F3),FALSE),"0")</f>
        <v>0</v>
      </c>
      <c r="G3" s="56" t="str">
        <f>IFERROR(VLOOKUP("Total Revenues*",'7.TIKR_IS'!$A:$K,COLUMN(G3),FALSE),"0")</f>
        <v>0</v>
      </c>
      <c r="H3" s="56" t="str">
        <f>IFERROR(VLOOKUP("Total Revenues*",'7.TIKR_IS'!$A:$K,COLUMN(H3),FALSE),"0")</f>
        <v>0</v>
      </c>
      <c r="I3" s="56" t="str">
        <f>IFERROR(VLOOKUP("Total Revenues*",'7.TIKR_IS'!$A:$K,COLUMN(I3),FALSE),"0")</f>
        <v>0</v>
      </c>
      <c r="J3" s="56" t="str">
        <f>IFERROR(VLOOKUP("Total Revenues*",'7.TIKR_IS'!$A:$K,COLUMN(J3),FALSE),"0")</f>
        <v>0</v>
      </c>
      <c r="K3" s="56" t="str">
        <f>IFERROR(VLOOKUP("Total Revenues*",'7.TIKR_IS'!$A:$K,COLUMN(K3),FALSE),"0")</f>
        <v>0</v>
      </c>
      <c r="L3" s="182" t="str">
        <f>IFERROR(K3*(1+L4),"")</f>
        <v/>
      </c>
      <c r="M3" s="9" t="str">
        <f t="shared" ref="M3:P3" si="1">IFERROR(L3*(1+M4),"")</f>
        <v/>
      </c>
      <c r="N3" s="9" t="str">
        <f t="shared" si="1"/>
        <v/>
      </c>
      <c r="O3" s="9" t="str">
        <f t="shared" si="1"/>
        <v/>
      </c>
      <c r="P3" s="112" t="str">
        <f t="shared" si="1"/>
        <v/>
      </c>
      <c r="Q3" s="6"/>
      <c r="R3" s="63" t="s">
        <v>88</v>
      </c>
      <c r="S3" s="243" t="str" cm="1">
        <f t="array" ref="S3">IFERROR(('1.IS'!K3/INDEX(B3:K3,MATCH(TRUE,B3:K3&gt;0,0)))^(1/10)-1,"-")</f>
        <v>-</v>
      </c>
      <c r="T3" s="27"/>
      <c r="U3" s="27"/>
      <c r="V3" s="27"/>
    </row>
    <row r="4" spans="1:22" ht="25" customHeight="1" thickTop="1" thickBot="1" x14ac:dyDescent="0.25">
      <c r="A4" s="66" t="s">
        <v>11</v>
      </c>
      <c r="B4" s="105"/>
      <c r="C4" s="10" t="str">
        <f>IFERROR((C3-B3)/ABS(B3),"")</f>
        <v/>
      </c>
      <c r="D4" s="10" t="str">
        <f t="shared" ref="D4:K4" si="2">IFERROR((D3-C3)/ABS(C3),"")</f>
        <v/>
      </c>
      <c r="E4" s="10" t="str">
        <f t="shared" si="2"/>
        <v/>
      </c>
      <c r="F4" s="10" t="str">
        <f t="shared" si="2"/>
        <v/>
      </c>
      <c r="G4" s="10" t="str">
        <f t="shared" si="2"/>
        <v/>
      </c>
      <c r="H4" s="10" t="str">
        <f t="shared" si="2"/>
        <v/>
      </c>
      <c r="I4" s="10" t="str">
        <f t="shared" si="2"/>
        <v/>
      </c>
      <c r="J4" s="10" t="str">
        <f t="shared" si="2"/>
        <v/>
      </c>
      <c r="K4" s="10" t="str">
        <f t="shared" si="2"/>
        <v/>
      </c>
      <c r="L4" s="239" t="str">
        <f>IFERROR(MEDIAN(I4:K4),IFERROR(IF(ISNUMBER(S3),S3,S11),0%))</f>
        <v/>
      </c>
      <c r="M4" s="240" t="str">
        <f>L4</f>
        <v/>
      </c>
      <c r="N4" s="240" t="str">
        <f t="shared" ref="N4:P4" si="3">M4</f>
        <v/>
      </c>
      <c r="O4" s="240" t="str">
        <f t="shared" si="3"/>
        <v/>
      </c>
      <c r="P4" s="241" t="str">
        <f t="shared" si="3"/>
        <v/>
      </c>
      <c r="Q4" s="6"/>
      <c r="R4" s="64" t="s">
        <v>2</v>
      </c>
      <c r="S4" s="244" t="str" cm="1">
        <f t="array" ref="S4">IFERROR(('1.IS'!K5/INDEX(B5:K5,MATCH(TRUE,B5:K5&gt;0,0)))^(1/10)-1,"-")</f>
        <v>-</v>
      </c>
      <c r="T4" s="27"/>
      <c r="U4" s="27"/>
      <c r="V4" s="27"/>
    </row>
    <row r="5" spans="1:22" ht="25" customHeight="1" thickTop="1" x14ac:dyDescent="0.2">
      <c r="A5" s="114" t="s">
        <v>2</v>
      </c>
      <c r="B5" s="106">
        <f t="shared" ref="B5:H5" si="4">B9-B8</f>
        <v>0</v>
      </c>
      <c r="C5" s="83">
        <f t="shared" si="4"/>
        <v>0</v>
      </c>
      <c r="D5" s="83">
        <f t="shared" si="4"/>
        <v>0</v>
      </c>
      <c r="E5" s="83">
        <f t="shared" si="4"/>
        <v>0</v>
      </c>
      <c r="F5" s="83">
        <f t="shared" si="4"/>
        <v>0</v>
      </c>
      <c r="G5" s="83">
        <f t="shared" si="4"/>
        <v>0</v>
      </c>
      <c r="H5" s="83">
        <f t="shared" si="4"/>
        <v>0</v>
      </c>
      <c r="I5" s="83">
        <f t="shared" ref="I5:K5" si="5">I9-I8</f>
        <v>0</v>
      </c>
      <c r="J5" s="83">
        <f t="shared" si="5"/>
        <v>0</v>
      </c>
      <c r="K5" s="83">
        <f t="shared" si="5"/>
        <v>0</v>
      </c>
      <c r="L5" s="106" t="str">
        <f>IFERROR(L9-L8,"")</f>
        <v/>
      </c>
      <c r="M5" s="83" t="str">
        <f t="shared" ref="M5:P5" si="6">IFERROR(M9-M8,"")</f>
        <v/>
      </c>
      <c r="N5" s="83" t="str">
        <f t="shared" si="6"/>
        <v/>
      </c>
      <c r="O5" s="83" t="str">
        <f t="shared" si="6"/>
        <v/>
      </c>
      <c r="P5" s="115" t="str">
        <f t="shared" si="6"/>
        <v/>
      </c>
      <c r="Q5" s="6"/>
      <c r="R5" s="64" t="s">
        <v>4</v>
      </c>
      <c r="S5" s="244" t="str" cm="1">
        <f t="array" ref="S5">IFERROR(('1.IS'!K9/INDEX(B9:K9,MATCH(TRUE,B9:K9&gt;0,0)))^(1/10)-1,"-")</f>
        <v>-</v>
      </c>
      <c r="T5" s="27"/>
      <c r="U5" s="27"/>
      <c r="V5" s="27"/>
    </row>
    <row r="6" spans="1:22" ht="25" customHeight="1" x14ac:dyDescent="0.2">
      <c r="A6" s="66" t="s">
        <v>8</v>
      </c>
      <c r="B6" s="105" t="str">
        <f t="shared" ref="B6:H6" si="7">IFERROR((B5/B3),"")</f>
        <v/>
      </c>
      <c r="C6" s="10" t="str">
        <f t="shared" si="7"/>
        <v/>
      </c>
      <c r="D6" s="10" t="str">
        <f t="shared" si="7"/>
        <v/>
      </c>
      <c r="E6" s="10" t="str">
        <f t="shared" si="7"/>
        <v/>
      </c>
      <c r="F6" s="10" t="str">
        <f t="shared" si="7"/>
        <v/>
      </c>
      <c r="G6" s="10" t="str">
        <f t="shared" si="7"/>
        <v/>
      </c>
      <c r="H6" s="10" t="str">
        <f t="shared" si="7"/>
        <v/>
      </c>
      <c r="I6" s="10" t="str">
        <f t="shared" ref="I6:K6" si="8">IFERROR((I5/I3),"")</f>
        <v/>
      </c>
      <c r="J6" s="10" t="str">
        <f t="shared" si="8"/>
        <v/>
      </c>
      <c r="K6" s="10" t="str">
        <f t="shared" si="8"/>
        <v/>
      </c>
      <c r="L6" s="105" t="str">
        <f>IFERROR(L5/L3,"")</f>
        <v/>
      </c>
      <c r="M6" s="10" t="str">
        <f>IFERROR(M5/M3,"")</f>
        <v/>
      </c>
      <c r="N6" s="10" t="str">
        <f>IFERROR(N5/N3,"")</f>
        <v/>
      </c>
      <c r="O6" s="10" t="str">
        <f>IFERROR(O5/O3,"")</f>
        <v/>
      </c>
      <c r="P6" s="113" t="str">
        <f>IFERROR(P5/P3,"")</f>
        <v/>
      </c>
      <c r="Q6" s="6"/>
      <c r="R6" s="64" t="s">
        <v>224</v>
      </c>
      <c r="S6" s="244" t="str" cm="1">
        <f t="array" ref="S6">IFERROR(('1.IS'!K20/INDEX(B20:K20,MATCH(TRUE,B20:K20&gt;0,0)))^(1/10)-1,"-")</f>
        <v>-</v>
      </c>
      <c r="T6" s="27"/>
      <c r="U6" s="27"/>
      <c r="V6" s="27"/>
    </row>
    <row r="7" spans="1:22" ht="25" customHeight="1" x14ac:dyDescent="0.2">
      <c r="A7" s="66" t="s">
        <v>11</v>
      </c>
      <c r="B7" s="105"/>
      <c r="C7" s="10" t="str">
        <f>IFERROR((C5-B5)/ABS(B5),"")</f>
        <v/>
      </c>
      <c r="D7" s="10" t="str">
        <f t="shared" ref="D7:K7" si="9">IFERROR((D5-C5)/ABS(C5),"")</f>
        <v/>
      </c>
      <c r="E7" s="10" t="str">
        <f t="shared" si="9"/>
        <v/>
      </c>
      <c r="F7" s="10" t="str">
        <f t="shared" si="9"/>
        <v/>
      </c>
      <c r="G7" s="10" t="str">
        <f t="shared" si="9"/>
        <v/>
      </c>
      <c r="H7" s="10" t="str">
        <f t="shared" si="9"/>
        <v/>
      </c>
      <c r="I7" s="10" t="str">
        <f t="shared" si="9"/>
        <v/>
      </c>
      <c r="J7" s="10" t="str">
        <f t="shared" si="9"/>
        <v/>
      </c>
      <c r="K7" s="10" t="str">
        <f t="shared" si="9"/>
        <v/>
      </c>
      <c r="L7" s="105" t="str">
        <f t="shared" ref="L7:P7" si="10">IFERROR((L5-K5)/K5,"")</f>
        <v/>
      </c>
      <c r="M7" s="10" t="str">
        <f t="shared" si="10"/>
        <v/>
      </c>
      <c r="N7" s="10" t="str">
        <f t="shared" si="10"/>
        <v/>
      </c>
      <c r="O7" s="10" t="str">
        <f t="shared" si="10"/>
        <v/>
      </c>
      <c r="P7" s="113" t="str">
        <f t="shared" si="10"/>
        <v/>
      </c>
      <c r="Q7" s="6"/>
      <c r="R7" s="65" t="s">
        <v>18</v>
      </c>
      <c r="S7" s="245" t="str" cm="1">
        <f t="array" ref="S7">IFERROR(('1.IS'!K23/INDEX(B23:K23,MATCH(TRUE,B23:K23&gt;0,0)))^(1/10)-1,"-")</f>
        <v>-</v>
      </c>
      <c r="T7" s="27"/>
      <c r="U7" s="27"/>
      <c r="V7" s="27"/>
    </row>
    <row r="8" spans="1:22" ht="25" customHeight="1" x14ac:dyDescent="0.2">
      <c r="A8" s="116" t="s">
        <v>194</v>
      </c>
      <c r="B8" s="107" t="str">
        <f>IFERROR(-VLOOKUP("Depreciation*",'9.TIKR_CF'!$A:$K,COLUMN(B8),FALSE)-IFERROR(VLOOKUP("Amortization of Goodwill and Intangible Assets*",'9.TIKR_CF'!$A:$K,COLUMN(B8),FALSE),"0"),"0")</f>
        <v>0</v>
      </c>
      <c r="C8" s="84" t="str">
        <f>IFERROR(-VLOOKUP("Depreciation*",'9.TIKR_CF'!$A:$K,COLUMN(C8),FALSE)-IFERROR(VLOOKUP("Amortization of Goodwill and Intangible Assets*",'9.TIKR_CF'!$A:$K,COLUMN(C8),FALSE),"0"),"0")</f>
        <v>0</v>
      </c>
      <c r="D8" s="84" t="str">
        <f>IFERROR(-VLOOKUP("Depreciation*",'9.TIKR_CF'!$A:$K,COLUMN(D8),FALSE)-IFERROR(VLOOKUP("Amortization of Goodwill and Intangible Assets*",'9.TIKR_CF'!$A:$K,COLUMN(D8),FALSE),"0"),"0")</f>
        <v>0</v>
      </c>
      <c r="E8" s="84" t="str">
        <f>IFERROR(-VLOOKUP("Depreciation*",'9.TIKR_CF'!$A:$K,COLUMN(E8),FALSE)-IFERROR(VLOOKUP("Amortization of Goodwill and Intangible Assets*",'9.TIKR_CF'!$A:$K,COLUMN(E8),FALSE),"0"),"0")</f>
        <v>0</v>
      </c>
      <c r="F8" s="84" t="str">
        <f>IFERROR(-VLOOKUP("Depreciation*",'9.TIKR_CF'!$A:$K,COLUMN(F8),FALSE)-IFERROR(VLOOKUP("Amortization of Goodwill and Intangible Assets*",'9.TIKR_CF'!$A:$K,COLUMN(F8),FALSE),"0"),"0")</f>
        <v>0</v>
      </c>
      <c r="G8" s="84" t="str">
        <f>IFERROR(-VLOOKUP("Depreciation*",'9.TIKR_CF'!$A:$K,COLUMN(G8),FALSE)-IFERROR(VLOOKUP("Amortization of Goodwill and Intangible Assets*",'9.TIKR_CF'!$A:$K,COLUMN(G8),FALSE),"0"),"0")</f>
        <v>0</v>
      </c>
      <c r="H8" s="84" t="str">
        <f>IFERROR(-VLOOKUP("Depreciation*",'9.TIKR_CF'!$A:$K,COLUMN(H8),FALSE)-IFERROR(VLOOKUP("Amortization of Goodwill and Intangible Assets*",'9.TIKR_CF'!$A:$K,COLUMN(H8),FALSE),"0"),"0")</f>
        <v>0</v>
      </c>
      <c r="I8" s="84" t="str">
        <f>IFERROR(-VLOOKUP("Depreciation*",'9.TIKR_CF'!$A:$K,COLUMN(I8),FALSE)-IFERROR(VLOOKUP("Amortization of Goodwill and Intangible Assets*",'9.TIKR_CF'!$A:$K,COLUMN(I8),FALSE),"0"),"0")</f>
        <v>0</v>
      </c>
      <c r="J8" s="84" t="str">
        <f>IFERROR(-VLOOKUP("Depreciation*",'9.TIKR_CF'!$A:$K,COLUMN(J8),FALSE)-IFERROR(VLOOKUP("Amortization of Goodwill and Intangible Assets*",'9.TIKR_CF'!$A:$K,COLUMN(J8),FALSE),"0"),"0")</f>
        <v>0</v>
      </c>
      <c r="K8" s="84" t="str">
        <f>IFERROR(-VLOOKUP("Depreciation*",'9.TIKR_CF'!$A:$K,COLUMN(K8),FALSE)-IFERROR(VLOOKUP("Amortization of Goodwill and Intangible Assets*",'9.TIKR_CF'!$A:$K,COLUMN(K8),FALSE),"0"),"0")</f>
        <v>0</v>
      </c>
      <c r="L8" s="109" t="str">
        <f>IFERROR(K8*(1+L4),"")</f>
        <v/>
      </c>
      <c r="M8" s="85" t="str">
        <f t="shared" ref="M8:P8" si="11">IFERROR(L8*(1+M4),"")</f>
        <v/>
      </c>
      <c r="N8" s="85" t="str">
        <f t="shared" si="11"/>
        <v/>
      </c>
      <c r="O8" s="85" t="str">
        <f t="shared" si="11"/>
        <v/>
      </c>
      <c r="P8" s="117" t="str">
        <f t="shared" si="11"/>
        <v/>
      </c>
      <c r="Q8" s="6"/>
      <c r="T8" s="27"/>
      <c r="U8" s="27"/>
      <c r="V8" s="27"/>
    </row>
    <row r="9" spans="1:22" ht="25" customHeight="1" thickBot="1" x14ac:dyDescent="0.25">
      <c r="A9" s="111" t="s">
        <v>3</v>
      </c>
      <c r="B9" s="108" t="str">
        <f>IFERROR(VLOOKUP("Operating Income*",'7.TIKR_IS'!$A:$K,COLUMN(B2),FALSE),"0")</f>
        <v>0</v>
      </c>
      <c r="C9" s="86" t="str">
        <f>IFERROR(VLOOKUP("Operating Income*",'7.TIKR_IS'!$A:$K,COLUMN(C2),FALSE),"0")</f>
        <v>0</v>
      </c>
      <c r="D9" s="86" t="str">
        <f>IFERROR(VLOOKUP("Operating Income*",'7.TIKR_IS'!$A:$K,COLUMN(D2),FALSE),"0")</f>
        <v>0</v>
      </c>
      <c r="E9" s="86" t="str">
        <f>IFERROR(VLOOKUP("Operating Income*",'7.TIKR_IS'!$A:$K,COLUMN(E2),FALSE),"0")</f>
        <v>0</v>
      </c>
      <c r="F9" s="86" t="str">
        <f>IFERROR(VLOOKUP("Operating Income*",'7.TIKR_IS'!$A:$K,COLUMN(F2),FALSE),"0")</f>
        <v>0</v>
      </c>
      <c r="G9" s="86" t="str">
        <f>IFERROR(VLOOKUP("Operating Income*",'7.TIKR_IS'!$A:$K,COLUMN(G2),FALSE),"0")</f>
        <v>0</v>
      </c>
      <c r="H9" s="86" t="str">
        <f>IFERROR(VLOOKUP("Operating Income*",'7.TIKR_IS'!$A:$K,COLUMN(H2),FALSE),"0")</f>
        <v>0</v>
      </c>
      <c r="I9" s="86" t="str">
        <f>IFERROR(VLOOKUP("Operating Income*",'7.TIKR_IS'!$A:$K,COLUMN(I2),FALSE),"0")</f>
        <v>0</v>
      </c>
      <c r="J9" s="86" t="str">
        <f>IFERROR(VLOOKUP("Operating Income*",'7.TIKR_IS'!$A:$K,COLUMN(J2),FALSE),"0")</f>
        <v>0</v>
      </c>
      <c r="K9" s="86" t="str">
        <f>IFERROR(VLOOKUP("Operating Income*",'7.TIKR_IS'!$A:$K,COLUMN(K2),FALSE),"0")</f>
        <v>0</v>
      </c>
      <c r="L9" s="106" t="str">
        <f>IFERROR(L3*L10,"")</f>
        <v/>
      </c>
      <c r="M9" s="83" t="str">
        <f t="shared" ref="M9:P9" si="12">IFERROR(M3*M10,"")</f>
        <v/>
      </c>
      <c r="N9" s="83" t="str">
        <f t="shared" si="12"/>
        <v/>
      </c>
      <c r="O9" s="83" t="str">
        <f t="shared" si="12"/>
        <v/>
      </c>
      <c r="P9" s="115" t="str">
        <f t="shared" si="12"/>
        <v/>
      </c>
      <c r="Q9" s="6"/>
      <c r="R9" s="288"/>
      <c r="S9" s="301" t="e" cm="1">
        <f t="array" ref="S9">"Promedio "&amp;CHAR(10)&amp;INDEX(B2:K2,MATCH(TRUE,VALUE(B2:K2)&gt;0,))&amp;" - "&amp;K2</f>
        <v>#N/A</v>
      </c>
      <c r="T9" s="27"/>
      <c r="U9" s="27"/>
      <c r="V9" s="27"/>
    </row>
    <row r="10" spans="1:22" ht="25" customHeight="1" thickTop="1" thickBot="1" x14ac:dyDescent="0.25">
      <c r="A10" s="66" t="s">
        <v>9</v>
      </c>
      <c r="B10" s="105" t="str">
        <f t="shared" ref="B10" si="13">IFERROR((B9/B3),"")</f>
        <v/>
      </c>
      <c r="C10" s="10" t="str">
        <f t="shared" ref="C10:K10" si="14">IFERROR((C9/C3),"")</f>
        <v/>
      </c>
      <c r="D10" s="10" t="str">
        <f t="shared" si="14"/>
        <v/>
      </c>
      <c r="E10" s="10" t="str">
        <f t="shared" si="14"/>
        <v/>
      </c>
      <c r="F10" s="10" t="str">
        <f t="shared" si="14"/>
        <v/>
      </c>
      <c r="G10" s="10" t="str">
        <f t="shared" si="14"/>
        <v/>
      </c>
      <c r="H10" s="10" t="str">
        <f t="shared" si="14"/>
        <v/>
      </c>
      <c r="I10" s="10" t="str">
        <f t="shared" si="14"/>
        <v/>
      </c>
      <c r="J10" s="10" t="str">
        <f t="shared" si="14"/>
        <v/>
      </c>
      <c r="K10" s="10" t="str">
        <f t="shared" si="14"/>
        <v/>
      </c>
      <c r="L10" s="239" t="str">
        <f>IFERROR(MEDIAN(I10:K10),S12)</f>
        <v/>
      </c>
      <c r="M10" s="240" t="str">
        <f>L10</f>
        <v/>
      </c>
      <c r="N10" s="240" t="str">
        <f t="shared" ref="N10:P10" si="15">M10</f>
        <v/>
      </c>
      <c r="O10" s="240" t="str">
        <f t="shared" si="15"/>
        <v/>
      </c>
      <c r="P10" s="241" t="str">
        <f t="shared" si="15"/>
        <v/>
      </c>
      <c r="Q10" s="242"/>
      <c r="R10" s="289"/>
      <c r="S10" s="302"/>
      <c r="T10" s="27"/>
      <c r="U10" s="27"/>
      <c r="V10" s="27"/>
    </row>
    <row r="11" spans="1:22" ht="25" customHeight="1" thickTop="1" x14ac:dyDescent="0.2">
      <c r="A11" s="66" t="s">
        <v>11</v>
      </c>
      <c r="B11" s="105"/>
      <c r="C11" s="10" t="str">
        <f>IFERROR((C9-B9)/ABS(B9),"")</f>
        <v/>
      </c>
      <c r="D11" s="10" t="str">
        <f t="shared" ref="D11:K11" si="16">IFERROR((D9-C9)/ABS(C9),"")</f>
        <v/>
      </c>
      <c r="E11" s="10" t="str">
        <f t="shared" si="16"/>
        <v/>
      </c>
      <c r="F11" s="10" t="str">
        <f t="shared" si="16"/>
        <v/>
      </c>
      <c r="G11" s="10" t="str">
        <f t="shared" si="16"/>
        <v/>
      </c>
      <c r="H11" s="10" t="str">
        <f t="shared" si="16"/>
        <v/>
      </c>
      <c r="I11" s="10" t="str">
        <f t="shared" si="16"/>
        <v/>
      </c>
      <c r="J11" s="10" t="str">
        <f t="shared" si="16"/>
        <v/>
      </c>
      <c r="K11" s="10" t="str">
        <f t="shared" si="16"/>
        <v/>
      </c>
      <c r="L11" s="105" t="str">
        <f t="shared" ref="L11:P11" si="17">IFERROR((L9-K9)/K9,"")</f>
        <v/>
      </c>
      <c r="M11" s="10" t="str">
        <f t="shared" si="17"/>
        <v/>
      </c>
      <c r="N11" s="10" t="str">
        <f t="shared" si="17"/>
        <v/>
      </c>
      <c r="O11" s="10" t="str">
        <f t="shared" si="17"/>
        <v/>
      </c>
      <c r="P11" s="113" t="str">
        <f t="shared" si="17"/>
        <v/>
      </c>
      <c r="Q11" s="6"/>
      <c r="R11" s="63" t="s">
        <v>195</v>
      </c>
      <c r="S11" s="243" t="str">
        <f>IFERROR(AVERAGE(C4:K4),"")</f>
        <v/>
      </c>
      <c r="T11" s="27"/>
      <c r="U11" s="27"/>
      <c r="V11" s="27"/>
    </row>
    <row r="12" spans="1:22" ht="25" customHeight="1" x14ac:dyDescent="0.2">
      <c r="A12" s="250" t="s">
        <v>193</v>
      </c>
      <c r="B12" s="107" t="str">
        <f>IFERROR(VLOOKUP("Interest Expense*",'7.TIKR_IS'!$A:$K,COLUMN(B12),FALSE),"0")</f>
        <v>0</v>
      </c>
      <c r="C12" s="84" t="str">
        <f>IFERROR(VLOOKUP("Interest Expense*",'7.TIKR_IS'!$A:$K,COLUMN(C12),FALSE),"0")</f>
        <v>0</v>
      </c>
      <c r="D12" s="84" t="str">
        <f>IFERROR(VLOOKUP("Interest Expense*",'7.TIKR_IS'!$A:$K,COLUMN(D12),FALSE),"0")</f>
        <v>0</v>
      </c>
      <c r="E12" s="84" t="str">
        <f>IFERROR(VLOOKUP("Interest Expense*",'7.TIKR_IS'!$A:$K,COLUMN(E12),FALSE),"0")</f>
        <v>0</v>
      </c>
      <c r="F12" s="84" t="str">
        <f>IFERROR(VLOOKUP("Interest Expense*",'7.TIKR_IS'!$A:$K,COLUMN(F12),FALSE),"0")</f>
        <v>0</v>
      </c>
      <c r="G12" s="84" t="str">
        <f>IFERROR(VLOOKUP("Interest Expense*",'7.TIKR_IS'!$A:$K,COLUMN(G12),FALSE),"0")</f>
        <v>0</v>
      </c>
      <c r="H12" s="84" t="str">
        <f>IFERROR(VLOOKUP("Interest Expense*",'7.TIKR_IS'!$A:$K,COLUMN(H12),FALSE),"0")</f>
        <v>0</v>
      </c>
      <c r="I12" s="84" t="str">
        <f>IFERROR(VLOOKUP("Interest Expense*",'7.TIKR_IS'!$A:$K,COLUMN(I12),FALSE),"0")</f>
        <v>0</v>
      </c>
      <c r="J12" s="84" t="str">
        <f>IFERROR(VLOOKUP("Interest Expense*",'7.TIKR_IS'!$A:$K,COLUMN(J12),FALSE),"0")</f>
        <v>0</v>
      </c>
      <c r="K12" s="84" t="str">
        <f>IFERROR(VLOOKUP("Interest Expense*",'7.TIKR_IS'!$A:$K,COLUMN(K12),FALSE),"0")</f>
        <v>0</v>
      </c>
      <c r="L12" s="109" t="str">
        <f>IFERROR(-TIKR_Cálculos!$B$27*SUM('3.ROIC'!L6:L7),"")</f>
        <v/>
      </c>
      <c r="M12" s="85" t="str">
        <f>IFERROR(-TIKR_Cálculos!$B$27*SUM('3.ROIC'!M6:M7),"")</f>
        <v/>
      </c>
      <c r="N12" s="85" t="str">
        <f>IFERROR(-TIKR_Cálculos!$B$27*SUM('3.ROIC'!N6:N7),"")</f>
        <v/>
      </c>
      <c r="O12" s="85" t="str">
        <f>IFERROR(-TIKR_Cálculos!$B$27*SUM('3.ROIC'!O6:O7),"")</f>
        <v/>
      </c>
      <c r="P12" s="117" t="str">
        <f>IFERROR(-TIKR_Cálculos!$B$27*SUM('3.ROIC'!P6:P7),"")</f>
        <v/>
      </c>
      <c r="Q12" s="6"/>
      <c r="R12" s="64" t="s">
        <v>57</v>
      </c>
      <c r="S12" s="244" t="str">
        <f>IFERROR(AVERAGE(B10:K10),"")</f>
        <v/>
      </c>
      <c r="T12" s="27"/>
      <c r="U12" s="27"/>
      <c r="V12" s="27"/>
    </row>
    <row r="13" spans="1:22" ht="25" customHeight="1" x14ac:dyDescent="0.2">
      <c r="A13" s="250" t="s">
        <v>196</v>
      </c>
      <c r="B13" s="107" t="str">
        <f>IFERROR(VLOOKUP("Interest And Investment Income*",'7.TIKR_IS'!$A:$K,COLUMN(B13),FALSE),"0")</f>
        <v>0</v>
      </c>
      <c r="C13" s="84" t="str">
        <f>IFERROR(VLOOKUP("Interest And Investment Income*",'7.TIKR_IS'!$A:$K,COLUMN(C13),FALSE),"0")</f>
        <v>0</v>
      </c>
      <c r="D13" s="84" t="str">
        <f>IFERROR(VLOOKUP("Interest And Investment Income*",'7.TIKR_IS'!$A:$K,COLUMN(D13),FALSE),"0")</f>
        <v>0</v>
      </c>
      <c r="E13" s="84" t="str">
        <f>IFERROR(VLOOKUP("Interest And Investment Income*",'7.TIKR_IS'!$A:$K,COLUMN(E13),FALSE),"0")</f>
        <v>0</v>
      </c>
      <c r="F13" s="84" t="str">
        <f>IFERROR(VLOOKUP("Interest And Investment Income*",'7.TIKR_IS'!$A:$K,COLUMN(F13),FALSE),"0")</f>
        <v>0</v>
      </c>
      <c r="G13" s="84" t="str">
        <f>IFERROR(VLOOKUP("Interest And Investment Income*",'7.TIKR_IS'!$A:$K,COLUMN(G13),FALSE),"0")</f>
        <v>0</v>
      </c>
      <c r="H13" s="84" t="str">
        <f>IFERROR(VLOOKUP("Interest And Investment Income*",'7.TIKR_IS'!$A:$K,COLUMN(H13),FALSE),"0")</f>
        <v>0</v>
      </c>
      <c r="I13" s="84" t="str">
        <f>IFERROR(VLOOKUP("Interest And Investment Income*",'7.TIKR_IS'!$A:$K,COLUMN(I13),FALSE),"0")</f>
        <v>0</v>
      </c>
      <c r="J13" s="84" t="str">
        <f>IFERROR(VLOOKUP("Interest And Investment Income*",'7.TIKR_IS'!$A:$K,COLUMN(J13),FALSE),"0")</f>
        <v>0</v>
      </c>
      <c r="K13" s="84" t="str">
        <f>IFERROR(VLOOKUP("Interest And Investment Income*",'7.TIKR_IS'!$A:$K,COLUMN(K13),FALSE),"0")</f>
        <v>0</v>
      </c>
      <c r="L13" s="109">
        <f>IFERROR(TIKR_Cálculos!$B$26*'3.ROIC'!L5,"")</f>
        <v>0</v>
      </c>
      <c r="M13" s="85">
        <f>IFERROR(TIKR_Cálculos!$B$26*'3.ROIC'!M5,"")</f>
        <v>0</v>
      </c>
      <c r="N13" s="85">
        <f>IFERROR(TIKR_Cálculos!$B$26*'3.ROIC'!N5,"")</f>
        <v>0</v>
      </c>
      <c r="O13" s="85">
        <f>IFERROR(TIKR_Cálculos!$B$26*'3.ROIC'!O5,"")</f>
        <v>0</v>
      </c>
      <c r="P13" s="117">
        <f>IFERROR(TIKR_Cálculos!$B$26*'3.ROIC'!P5,"")</f>
        <v>0</v>
      </c>
      <c r="Q13" s="6"/>
      <c r="R13" s="63" t="s">
        <v>56</v>
      </c>
      <c r="S13" s="243" t="str">
        <f>IFERROR(AVERAGE(B17:K17),"")</f>
        <v/>
      </c>
      <c r="T13" s="27"/>
      <c r="U13" s="27"/>
      <c r="V13" s="27"/>
    </row>
    <row r="14" spans="1:22" ht="25" customHeight="1" x14ac:dyDescent="0.2">
      <c r="A14" s="66" t="s">
        <v>106</v>
      </c>
      <c r="B14" s="109">
        <f>B12+B13</f>
        <v>0</v>
      </c>
      <c r="C14" s="85">
        <f t="shared" ref="C14:K14" si="18">C12+C13</f>
        <v>0</v>
      </c>
      <c r="D14" s="85">
        <f t="shared" si="18"/>
        <v>0</v>
      </c>
      <c r="E14" s="85">
        <f t="shared" si="18"/>
        <v>0</v>
      </c>
      <c r="F14" s="85">
        <f t="shared" si="18"/>
        <v>0</v>
      </c>
      <c r="G14" s="85">
        <f t="shared" si="18"/>
        <v>0</v>
      </c>
      <c r="H14" s="85">
        <f t="shared" si="18"/>
        <v>0</v>
      </c>
      <c r="I14" s="85">
        <f t="shared" si="18"/>
        <v>0</v>
      </c>
      <c r="J14" s="85">
        <f t="shared" si="18"/>
        <v>0</v>
      </c>
      <c r="K14" s="85">
        <f t="shared" si="18"/>
        <v>0</v>
      </c>
      <c r="L14" s="109">
        <f>IFERROR(SUM(L12:L13),"")</f>
        <v>0</v>
      </c>
      <c r="M14" s="85">
        <f t="shared" ref="M14:P14" si="19">IFERROR(SUM(M12:M13),"")</f>
        <v>0</v>
      </c>
      <c r="N14" s="85">
        <f t="shared" si="19"/>
        <v>0</v>
      </c>
      <c r="O14" s="85">
        <f t="shared" si="19"/>
        <v>0</v>
      </c>
      <c r="P14" s="117">
        <f t="shared" si="19"/>
        <v>0</v>
      </c>
      <c r="Q14" s="6"/>
      <c r="R14" s="65" t="s">
        <v>65</v>
      </c>
      <c r="S14" s="245" t="str">
        <f>IFERROR(AVERAGE(C26:K26),"")</f>
        <v/>
      </c>
      <c r="T14" s="27"/>
      <c r="U14" s="27"/>
      <c r="V14" s="27"/>
    </row>
    <row r="15" spans="1:22" ht="25" customHeight="1" collapsed="1" x14ac:dyDescent="0.2">
      <c r="A15" s="66" t="s">
        <v>16</v>
      </c>
      <c r="B15" s="109">
        <f t="shared" ref="B15:P15" si="20">IFERROR(B9+B14,"")</f>
        <v>0</v>
      </c>
      <c r="C15" s="85">
        <f t="shared" ref="C15:K15" si="21">IFERROR(C9+C14,"")</f>
        <v>0</v>
      </c>
      <c r="D15" s="85">
        <f t="shared" si="21"/>
        <v>0</v>
      </c>
      <c r="E15" s="85">
        <f t="shared" si="21"/>
        <v>0</v>
      </c>
      <c r="F15" s="85">
        <f t="shared" si="21"/>
        <v>0</v>
      </c>
      <c r="G15" s="85">
        <f t="shared" si="21"/>
        <v>0</v>
      </c>
      <c r="H15" s="85">
        <f t="shared" si="21"/>
        <v>0</v>
      </c>
      <c r="I15" s="85">
        <f t="shared" si="21"/>
        <v>0</v>
      </c>
      <c r="J15" s="85">
        <f t="shared" si="21"/>
        <v>0</v>
      </c>
      <c r="K15" s="85">
        <f t="shared" si="21"/>
        <v>0</v>
      </c>
      <c r="L15" s="109" t="str">
        <f t="shared" si="20"/>
        <v/>
      </c>
      <c r="M15" s="85" t="str">
        <f t="shared" si="20"/>
        <v/>
      </c>
      <c r="N15" s="85" t="str">
        <f t="shared" si="20"/>
        <v/>
      </c>
      <c r="O15" s="85" t="str">
        <f t="shared" si="20"/>
        <v/>
      </c>
      <c r="P15" s="117" t="str">
        <f t="shared" si="20"/>
        <v/>
      </c>
      <c r="Q15" s="6"/>
      <c r="T15" s="27"/>
      <c r="U15" s="27"/>
      <c r="V15" s="27"/>
    </row>
    <row r="16" spans="1:22" ht="25" customHeight="1" thickBot="1" x14ac:dyDescent="0.25">
      <c r="A16" s="116" t="s">
        <v>129</v>
      </c>
      <c r="B16" s="107" t="str">
        <f>IFERROR(VLOOKUP("Income Tax Expense*",'7.TIKR_IS'!$A:$K,COLUMN(B16),FALSE),"0")</f>
        <v>0</v>
      </c>
      <c r="C16" s="84" t="str">
        <f>IFERROR(VLOOKUP("Income Tax Expense*",'7.TIKR_IS'!$A:$K,COLUMN(C16),FALSE),"0")</f>
        <v>0</v>
      </c>
      <c r="D16" s="84" t="str">
        <f>IFERROR(VLOOKUP("Income Tax Expense*",'7.TIKR_IS'!$A:$K,COLUMN(D16),FALSE),"0")</f>
        <v>0</v>
      </c>
      <c r="E16" s="84" t="str">
        <f>IFERROR(VLOOKUP("Income Tax Expense*",'7.TIKR_IS'!$A:$K,COLUMN(E16),FALSE),"0")</f>
        <v>0</v>
      </c>
      <c r="F16" s="84" t="str">
        <f>IFERROR(VLOOKUP("Income Tax Expense*",'7.TIKR_IS'!$A:$K,COLUMN(F16),FALSE),"0")</f>
        <v>0</v>
      </c>
      <c r="G16" s="84" t="str">
        <f>IFERROR(VLOOKUP("Income Tax Expense*",'7.TIKR_IS'!$A:$K,COLUMN(G16),FALSE),"0")</f>
        <v>0</v>
      </c>
      <c r="H16" s="84" t="str">
        <f>IFERROR(VLOOKUP("Income Tax Expense*",'7.TIKR_IS'!$A:$K,COLUMN(H16),FALSE),"0")</f>
        <v>0</v>
      </c>
      <c r="I16" s="84" t="str">
        <f>IFERROR(VLOOKUP("Income Tax Expense*",'7.TIKR_IS'!$A:$K,COLUMN(I16),FALSE),"0")</f>
        <v>0</v>
      </c>
      <c r="J16" s="84" t="str">
        <f>IFERROR(VLOOKUP("Income Tax Expense*",'7.TIKR_IS'!$A:$K,COLUMN(J16),FALSE),"0")</f>
        <v>0</v>
      </c>
      <c r="K16" s="84" t="str">
        <f>IFERROR(VLOOKUP("Income Tax Expense*",'7.TIKR_IS'!$A:$K,COLUMN(K16),FALSE),"0")</f>
        <v>0</v>
      </c>
      <c r="L16" s="109" t="str">
        <f>IFERROR(-L15*L17,"")</f>
        <v/>
      </c>
      <c r="M16" s="85" t="str">
        <f>IFERROR(-M15*M17,"")</f>
        <v/>
      </c>
      <c r="N16" s="85" t="str">
        <f>IFERROR(-N15*N17,"")</f>
        <v/>
      </c>
      <c r="O16" s="85" t="str">
        <f>IFERROR(-O15*O17,"")</f>
        <v/>
      </c>
      <c r="P16" s="117" t="str">
        <f>IFERROR(-P15*P17,"")</f>
        <v/>
      </c>
      <c r="Q16" s="6"/>
      <c r="R16" s="303" t="s">
        <v>154</v>
      </c>
      <c r="T16" s="27"/>
      <c r="U16" s="27"/>
      <c r="V16" s="27"/>
    </row>
    <row r="17" spans="1:22" ht="25" customHeight="1" thickTop="1" thickBot="1" x14ac:dyDescent="0.25">
      <c r="A17" s="66" t="s">
        <v>17</v>
      </c>
      <c r="B17" s="105" t="str">
        <f t="shared" ref="B17" si="22">IFERROR((ABS(B16)/B15),"")</f>
        <v/>
      </c>
      <c r="C17" s="10" t="str">
        <f t="shared" ref="C17:K17" si="23">IFERROR((ABS(C16)/C15),"")</f>
        <v/>
      </c>
      <c r="D17" s="10" t="str">
        <f t="shared" si="23"/>
        <v/>
      </c>
      <c r="E17" s="10" t="str">
        <f t="shared" si="23"/>
        <v/>
      </c>
      <c r="F17" s="10" t="str">
        <f t="shared" si="23"/>
        <v/>
      </c>
      <c r="G17" s="10" t="str">
        <f t="shared" si="23"/>
        <v/>
      </c>
      <c r="H17" s="10" t="str">
        <f t="shared" si="23"/>
        <v/>
      </c>
      <c r="I17" s="10" t="str">
        <f t="shared" si="23"/>
        <v/>
      </c>
      <c r="J17" s="10" t="str">
        <f t="shared" si="23"/>
        <v/>
      </c>
      <c r="K17" s="10" t="str">
        <f t="shared" si="23"/>
        <v/>
      </c>
      <c r="L17" s="239" t="str">
        <f>IFERROR(MEDIAN(I17:K17),S13)</f>
        <v/>
      </c>
      <c r="M17" s="240" t="str">
        <f>L17</f>
        <v/>
      </c>
      <c r="N17" s="240" t="str">
        <f t="shared" ref="N17:P17" si="24">M17</f>
        <v/>
      </c>
      <c r="O17" s="240" t="str">
        <f t="shared" si="24"/>
        <v/>
      </c>
      <c r="P17" s="241" t="str">
        <f t="shared" si="24"/>
        <v/>
      </c>
      <c r="Q17" s="6"/>
      <c r="R17" s="303"/>
      <c r="T17" s="27"/>
      <c r="U17" s="27"/>
      <c r="V17" s="27"/>
    </row>
    <row r="18" spans="1:22" ht="25" customHeight="1" thickTop="1" x14ac:dyDescent="0.2">
      <c r="A18" s="66" t="s">
        <v>0</v>
      </c>
      <c r="B18" s="109">
        <f t="shared" ref="B18" si="25">B15+B16</f>
        <v>0</v>
      </c>
      <c r="C18" s="85">
        <f t="shared" ref="C18:K18" si="26">C15+C16</f>
        <v>0</v>
      </c>
      <c r="D18" s="85">
        <f t="shared" si="26"/>
        <v>0</v>
      </c>
      <c r="E18" s="85">
        <f t="shared" si="26"/>
        <v>0</v>
      </c>
      <c r="F18" s="85">
        <f t="shared" si="26"/>
        <v>0</v>
      </c>
      <c r="G18" s="85">
        <f t="shared" si="26"/>
        <v>0</v>
      </c>
      <c r="H18" s="85">
        <f t="shared" si="26"/>
        <v>0</v>
      </c>
      <c r="I18" s="85">
        <f t="shared" si="26"/>
        <v>0</v>
      </c>
      <c r="J18" s="85">
        <f t="shared" si="26"/>
        <v>0</v>
      </c>
      <c r="K18" s="85">
        <f t="shared" si="26"/>
        <v>0</v>
      </c>
      <c r="L18" s="109" t="str">
        <f>IFERROR(L15+L16,"")</f>
        <v/>
      </c>
      <c r="M18" s="85" t="str">
        <f>IFERROR(M15+M16,"")</f>
        <v/>
      </c>
      <c r="N18" s="85" t="str">
        <f>IFERROR(N15+N16,"")</f>
        <v/>
      </c>
      <c r="O18" s="85" t="str">
        <f>IFERROR(O15+O16,"")</f>
        <v/>
      </c>
      <c r="P18" s="117" t="str">
        <f>IFERROR(P15+P16,"")</f>
        <v/>
      </c>
      <c r="Q18" s="6"/>
      <c r="R18" s="290"/>
      <c r="T18" s="27"/>
      <c r="U18" s="27"/>
      <c r="V18" s="27"/>
    </row>
    <row r="19" spans="1:22" ht="25" customHeight="1" x14ac:dyDescent="0.2">
      <c r="A19" s="116" t="s">
        <v>197</v>
      </c>
      <c r="B19" s="107" t="str">
        <f>IFERROR(VLOOKUP("Minority Interest*",'7.TIKR_IS'!$A:$K,COLUMN(B19),FALSE),"0")</f>
        <v>0</v>
      </c>
      <c r="C19" s="84" t="str">
        <f>IFERROR(VLOOKUP("Minority Interest*",'7.TIKR_IS'!$A:$K,COLUMN(C19),FALSE),"0")</f>
        <v>0</v>
      </c>
      <c r="D19" s="84" t="str">
        <f>IFERROR(VLOOKUP("Minority Interest*",'7.TIKR_IS'!$A:$K,COLUMN(D19),FALSE),"0")</f>
        <v>0</v>
      </c>
      <c r="E19" s="84" t="str">
        <f>IFERROR(VLOOKUP("Minority Interest*",'7.TIKR_IS'!$A:$K,COLUMN(E19),FALSE),"0")</f>
        <v>0</v>
      </c>
      <c r="F19" s="84" t="str">
        <f>IFERROR(VLOOKUP("Minority Interest*",'7.TIKR_IS'!$A:$K,COLUMN(F19),FALSE),"0")</f>
        <v>0</v>
      </c>
      <c r="G19" s="84" t="str">
        <f>IFERROR(VLOOKUP("Minority Interest*",'7.TIKR_IS'!$A:$K,COLUMN(G19),FALSE),"0")</f>
        <v>0</v>
      </c>
      <c r="H19" s="84" t="str">
        <f>IFERROR(VLOOKUP("Minority Interest*",'7.TIKR_IS'!$A:$K,COLUMN(H19),FALSE),"0")</f>
        <v>0</v>
      </c>
      <c r="I19" s="84" t="str">
        <f>IFERROR(VLOOKUP("Minority Interest*",'7.TIKR_IS'!$A:$K,COLUMN(I19),FALSE),"0")</f>
        <v>0</v>
      </c>
      <c r="J19" s="84" t="str">
        <f>IFERROR(VLOOKUP("Minority Interest*",'7.TIKR_IS'!$A:$K,COLUMN(J19),FALSE),"0")</f>
        <v>0</v>
      </c>
      <c r="K19" s="84" t="str">
        <f>IFERROR(VLOOKUP("Minority Interest*",'7.TIKR_IS'!$A:$K,COLUMN(K19),FALSE),"0")</f>
        <v>0</v>
      </c>
      <c r="L19" s="109" t="str">
        <f>IFERROR(K19/K18*L18,"")</f>
        <v/>
      </c>
      <c r="M19" s="85" t="str">
        <f>IFERROR(L19/L18*M18,"")</f>
        <v/>
      </c>
      <c r="N19" s="85" t="str">
        <f>IFERROR(M19/M18*N18,"")</f>
        <v/>
      </c>
      <c r="O19" s="85" t="str">
        <f>IFERROR(N19/N18*O18,"")</f>
        <v/>
      </c>
      <c r="P19" s="117" t="str">
        <f>IFERROR(O19/O18*P18,"")</f>
        <v/>
      </c>
      <c r="Q19" s="6"/>
      <c r="T19" s="27"/>
      <c r="U19" s="27"/>
      <c r="V19" s="27"/>
    </row>
    <row r="20" spans="1:22" ht="25" customHeight="1" x14ac:dyDescent="0.2">
      <c r="A20" s="66" t="s">
        <v>1</v>
      </c>
      <c r="B20" s="109">
        <f t="shared" ref="B20" si="27">B18+B19</f>
        <v>0</v>
      </c>
      <c r="C20" s="85">
        <f t="shared" ref="C20:K20" si="28">C18+C19</f>
        <v>0</v>
      </c>
      <c r="D20" s="85">
        <f t="shared" si="28"/>
        <v>0</v>
      </c>
      <c r="E20" s="85">
        <f t="shared" si="28"/>
        <v>0</v>
      </c>
      <c r="F20" s="85">
        <f t="shared" si="28"/>
        <v>0</v>
      </c>
      <c r="G20" s="85">
        <f t="shared" si="28"/>
        <v>0</v>
      </c>
      <c r="H20" s="85">
        <f t="shared" si="28"/>
        <v>0</v>
      </c>
      <c r="I20" s="85">
        <f t="shared" si="28"/>
        <v>0</v>
      </c>
      <c r="J20" s="85">
        <f t="shared" si="28"/>
        <v>0</v>
      </c>
      <c r="K20" s="85">
        <f t="shared" si="28"/>
        <v>0</v>
      </c>
      <c r="L20" s="109" t="str">
        <f>IFERROR(L18+L19,"")</f>
        <v/>
      </c>
      <c r="M20" s="85" t="str">
        <f>IFERROR(M18+M19,"")</f>
        <v/>
      </c>
      <c r="N20" s="85" t="str">
        <f>IFERROR(N18+N19,"")</f>
        <v/>
      </c>
      <c r="O20" s="85" t="str">
        <f>IFERROR(O18+O19,"")</f>
        <v/>
      </c>
      <c r="P20" s="117" t="str">
        <f>IFERROR(P18+P19,"")</f>
        <v/>
      </c>
      <c r="Q20" s="6"/>
      <c r="R20" s="6"/>
      <c r="S20" s="7"/>
      <c r="T20" s="27"/>
      <c r="U20" s="27"/>
      <c r="V20" s="27"/>
    </row>
    <row r="21" spans="1:22" ht="25" customHeight="1" x14ac:dyDescent="0.2">
      <c r="A21" s="66" t="s">
        <v>198</v>
      </c>
      <c r="B21" s="105" t="str">
        <f t="shared" ref="B21:P21" si="29">IFERROR(B20/B3,"")</f>
        <v/>
      </c>
      <c r="C21" s="10" t="str">
        <f t="shared" ref="C21:K21" si="30">IFERROR(C20/C3,"")</f>
        <v/>
      </c>
      <c r="D21" s="10" t="str">
        <f t="shared" si="30"/>
        <v/>
      </c>
      <c r="E21" s="10" t="str">
        <f t="shared" si="30"/>
        <v/>
      </c>
      <c r="F21" s="10" t="str">
        <f t="shared" si="30"/>
        <v/>
      </c>
      <c r="G21" s="10" t="str">
        <f t="shared" si="30"/>
        <v/>
      </c>
      <c r="H21" s="10" t="str">
        <f t="shared" si="30"/>
        <v/>
      </c>
      <c r="I21" s="10" t="str">
        <f t="shared" si="30"/>
        <v/>
      </c>
      <c r="J21" s="10" t="str">
        <f t="shared" si="30"/>
        <v/>
      </c>
      <c r="K21" s="10" t="str">
        <f t="shared" si="30"/>
        <v/>
      </c>
      <c r="L21" s="105" t="str">
        <f t="shared" si="29"/>
        <v/>
      </c>
      <c r="M21" s="10" t="str">
        <f t="shared" si="29"/>
        <v/>
      </c>
      <c r="N21" s="10" t="str">
        <f t="shared" si="29"/>
        <v/>
      </c>
      <c r="O21" s="10" t="str">
        <f t="shared" si="29"/>
        <v/>
      </c>
      <c r="P21" s="113" t="str">
        <f t="shared" si="29"/>
        <v/>
      </c>
      <c r="Q21" s="6"/>
      <c r="R21" s="6"/>
      <c r="S21" s="7"/>
      <c r="T21" s="27"/>
      <c r="U21" s="27"/>
      <c r="V21" s="27"/>
    </row>
    <row r="22" spans="1:22" ht="25" customHeight="1" x14ac:dyDescent="0.2">
      <c r="A22" s="66" t="s">
        <v>11</v>
      </c>
      <c r="B22" s="105"/>
      <c r="C22" s="10" t="str">
        <f>IFERROR((C20-B20)/ABS(B20),"")</f>
        <v/>
      </c>
      <c r="D22" s="10" t="str">
        <f t="shared" ref="D22:K22" si="31">IFERROR((D20-C20)/ABS(C20),"")</f>
        <v/>
      </c>
      <c r="E22" s="10" t="str">
        <f t="shared" si="31"/>
        <v/>
      </c>
      <c r="F22" s="10" t="str">
        <f t="shared" si="31"/>
        <v/>
      </c>
      <c r="G22" s="10" t="str">
        <f t="shared" si="31"/>
        <v/>
      </c>
      <c r="H22" s="10" t="str">
        <f t="shared" si="31"/>
        <v/>
      </c>
      <c r="I22" s="10" t="str">
        <f t="shared" si="31"/>
        <v/>
      </c>
      <c r="J22" s="10" t="str">
        <f t="shared" si="31"/>
        <v/>
      </c>
      <c r="K22" s="10" t="str">
        <f t="shared" si="31"/>
        <v/>
      </c>
      <c r="L22" s="105" t="str">
        <f t="shared" ref="L22" si="32">IFERROR((L20-K20)/K20,"")</f>
        <v/>
      </c>
      <c r="M22" s="10" t="str">
        <f t="shared" ref="M22" si="33">IFERROR((M20-L20)/L20,"")</f>
        <v/>
      </c>
      <c r="N22" s="10" t="str">
        <f t="shared" ref="N22" si="34">IFERROR((N20-M20)/M20,"")</f>
        <v/>
      </c>
      <c r="O22" s="10" t="str">
        <f t="shared" ref="O22" si="35">IFERROR((O20-N20)/N20,"")</f>
        <v/>
      </c>
      <c r="P22" s="113" t="str">
        <f t="shared" ref="P22" si="36">IFERROR((P20-O20)/O20,"")</f>
        <v/>
      </c>
      <c r="Q22" s="6"/>
      <c r="R22" s="6"/>
      <c r="S22" s="7"/>
      <c r="T22" s="27"/>
      <c r="U22" s="27"/>
      <c r="V22" s="27"/>
    </row>
    <row r="23" spans="1:22" ht="25" customHeight="1" x14ac:dyDescent="0.2">
      <c r="A23" s="114" t="s">
        <v>18</v>
      </c>
      <c r="B23" s="246" t="str">
        <f t="shared" ref="B23:P23" si="37">IFERROR(B20/B25,"")</f>
        <v/>
      </c>
      <c r="C23" s="247" t="str">
        <f t="shared" ref="C23:K23" si="38">IFERROR(C20/C25,"")</f>
        <v/>
      </c>
      <c r="D23" s="247" t="str">
        <f t="shared" si="38"/>
        <v/>
      </c>
      <c r="E23" s="247" t="str">
        <f t="shared" si="38"/>
        <v/>
      </c>
      <c r="F23" s="247" t="str">
        <f t="shared" si="38"/>
        <v/>
      </c>
      <c r="G23" s="247" t="str">
        <f t="shared" si="38"/>
        <v/>
      </c>
      <c r="H23" s="247" t="str">
        <f t="shared" si="38"/>
        <v/>
      </c>
      <c r="I23" s="247" t="str">
        <f t="shared" si="38"/>
        <v/>
      </c>
      <c r="J23" s="247" t="str">
        <f t="shared" si="38"/>
        <v/>
      </c>
      <c r="K23" s="247" t="str">
        <f t="shared" si="38"/>
        <v/>
      </c>
      <c r="L23" s="246" t="str">
        <f t="shared" si="37"/>
        <v/>
      </c>
      <c r="M23" s="247" t="str">
        <f t="shared" si="37"/>
        <v/>
      </c>
      <c r="N23" s="247" t="str">
        <f t="shared" si="37"/>
        <v/>
      </c>
      <c r="O23" s="247" t="str">
        <f t="shared" si="37"/>
        <v/>
      </c>
      <c r="P23" s="248" t="str">
        <f t="shared" si="37"/>
        <v/>
      </c>
      <c r="Q23" s="6"/>
      <c r="R23" s="6"/>
      <c r="S23" s="6"/>
      <c r="T23" s="27"/>
      <c r="U23" s="27"/>
      <c r="V23" s="27"/>
    </row>
    <row r="24" spans="1:22" ht="25" customHeight="1" x14ac:dyDescent="0.2">
      <c r="A24" s="66" t="s">
        <v>11</v>
      </c>
      <c r="B24" s="105"/>
      <c r="C24" s="10" t="str">
        <f>IFERROR((C23-B23)/ABS(B23),"")</f>
        <v/>
      </c>
      <c r="D24" s="10" t="str">
        <f t="shared" ref="D24" si="39">IFERROR((D23-C23)/ABS(C23),"")</f>
        <v/>
      </c>
      <c r="E24" s="10" t="str">
        <f t="shared" ref="E24" si="40">IFERROR((E23-D23)/ABS(D23),"")</f>
        <v/>
      </c>
      <c r="F24" s="10" t="str">
        <f t="shared" ref="F24" si="41">IFERROR((F23-E23)/ABS(E23),"")</f>
        <v/>
      </c>
      <c r="G24" s="10" t="str">
        <f t="shared" ref="G24" si="42">IFERROR((G23-F23)/ABS(F23),"")</f>
        <v/>
      </c>
      <c r="H24" s="10" t="str">
        <f t="shared" ref="H24" si="43">IFERROR((H23-G23)/ABS(G23),"")</f>
        <v/>
      </c>
      <c r="I24" s="10" t="str">
        <f t="shared" ref="I24" si="44">IFERROR((I23-H23)/ABS(H23),"")</f>
        <v/>
      </c>
      <c r="J24" s="10" t="str">
        <f t="shared" ref="J24" si="45">IFERROR((J23-I23)/ABS(I23),"")</f>
        <v/>
      </c>
      <c r="K24" s="10" t="str">
        <f t="shared" ref="K24" si="46">IFERROR((K23-J23)/ABS(J23),"")</f>
        <v/>
      </c>
      <c r="L24" s="105" t="str">
        <f>IFERROR((L23-K23)/K23,"")</f>
        <v/>
      </c>
      <c r="M24" s="10" t="str">
        <f t="shared" ref="M24:P24" si="47">IFERROR((M23-L23)/L23,"")</f>
        <v/>
      </c>
      <c r="N24" s="10" t="str">
        <f t="shared" si="47"/>
        <v/>
      </c>
      <c r="O24" s="10" t="str">
        <f t="shared" si="47"/>
        <v/>
      </c>
      <c r="P24" s="113" t="str">
        <f t="shared" si="47"/>
        <v/>
      </c>
      <c r="Q24" s="6"/>
      <c r="S24" s="6"/>
      <c r="T24" s="27"/>
      <c r="U24" s="27"/>
      <c r="V24" s="27"/>
    </row>
    <row r="25" spans="1:22" ht="25" customHeight="1" thickBot="1" x14ac:dyDescent="0.25">
      <c r="A25" s="116" t="s">
        <v>104</v>
      </c>
      <c r="B25" s="110" t="str">
        <f>IFERROR(VLOOKUP("*Diluted Shares Outstanding*",'7.TIKR_IS'!$A:$K,COLUMN(B25),FALSE),"0")</f>
        <v>0</v>
      </c>
      <c r="C25" s="15" t="str">
        <f>IFERROR(VLOOKUP("*Diluted Shares Outstanding*",'7.TIKR_IS'!$A:$K,COLUMN(C25),FALSE),"0")</f>
        <v>0</v>
      </c>
      <c r="D25" s="15" t="str">
        <f>IFERROR(VLOOKUP("*Diluted Shares Outstanding*",'7.TIKR_IS'!$A:$K,COLUMN(D25),FALSE),"0")</f>
        <v>0</v>
      </c>
      <c r="E25" s="15" t="str">
        <f>IFERROR(VLOOKUP("*Diluted Shares Outstanding*",'7.TIKR_IS'!$A:$K,COLUMN(E25),FALSE),"0")</f>
        <v>0</v>
      </c>
      <c r="F25" s="15" t="str">
        <f>IFERROR(VLOOKUP("*Diluted Shares Outstanding*",'7.TIKR_IS'!$A:$K,COLUMN(F25),FALSE),"0")</f>
        <v>0</v>
      </c>
      <c r="G25" s="15" t="str">
        <f>IFERROR(VLOOKUP("*Diluted Shares Outstanding*",'7.TIKR_IS'!$A:$K,COLUMN(G25),FALSE),"0")</f>
        <v>0</v>
      </c>
      <c r="H25" s="15" t="str">
        <f>IFERROR(VLOOKUP("*Diluted Shares Outstanding*",'7.TIKR_IS'!$A:$K,COLUMN(H25),FALSE),"0")</f>
        <v>0</v>
      </c>
      <c r="I25" s="15" t="str">
        <f>IFERROR(VLOOKUP("*Diluted Shares Outstanding*",'7.TIKR_IS'!$A:$K,COLUMN(I25),FALSE),"0")</f>
        <v>0</v>
      </c>
      <c r="J25" s="15" t="str">
        <f>IFERROR(VLOOKUP("*Diluted Shares Outstanding*",'7.TIKR_IS'!$A:$K,COLUMN(J25),FALSE),"0")</f>
        <v>0</v>
      </c>
      <c r="K25" s="15" t="str">
        <f>IFERROR(VLOOKUP("*Diluted Shares Outstanding*",'7.TIKR_IS'!$A:$K,COLUMN(K25),FALSE),"0")</f>
        <v>0</v>
      </c>
      <c r="L25" s="183" t="str">
        <f>IFERROR(K25*(1+L26),"")</f>
        <v/>
      </c>
      <c r="M25" s="11" t="str">
        <f t="shared" ref="M25" si="48">IFERROR(L25*(1+M26),"")</f>
        <v/>
      </c>
      <c r="N25" s="11" t="str">
        <f t="shared" ref="N25" si="49">IFERROR(M25*(1+N26),"")</f>
        <v/>
      </c>
      <c r="O25" s="11" t="str">
        <f t="shared" ref="O25" si="50">IFERROR(N25*(1+O26),"")</f>
        <v/>
      </c>
      <c r="P25" s="118" t="str">
        <f t="shared" ref="P25" si="51">IFERROR(O25*(1+P26),"")</f>
        <v/>
      </c>
      <c r="Q25" s="6"/>
      <c r="S25" s="7"/>
      <c r="T25" s="27"/>
      <c r="U25" s="27"/>
      <c r="V25" s="27"/>
    </row>
    <row r="26" spans="1:22" ht="25" customHeight="1" thickTop="1" thickBot="1" x14ac:dyDescent="0.25">
      <c r="A26" s="66" t="s">
        <v>11</v>
      </c>
      <c r="B26" s="105"/>
      <c r="C26" s="10" t="str">
        <f>IFERROR((C25-B25)/ABS(B25),"")</f>
        <v/>
      </c>
      <c r="D26" s="10" t="str">
        <f t="shared" ref="D26" si="52">IFERROR((D25-C25)/ABS(C25),"")</f>
        <v/>
      </c>
      <c r="E26" s="10" t="str">
        <f t="shared" ref="E26" si="53">IFERROR((E25-D25)/ABS(D25),"")</f>
        <v/>
      </c>
      <c r="F26" s="10" t="str">
        <f t="shared" ref="F26" si="54">IFERROR((F25-E25)/ABS(E25),"")</f>
        <v/>
      </c>
      <c r="G26" s="10" t="str">
        <f t="shared" ref="G26" si="55">IFERROR((G25-F25)/ABS(F25),"")</f>
        <v/>
      </c>
      <c r="H26" s="10" t="str">
        <f t="shared" ref="H26" si="56">IFERROR((H25-G25)/ABS(G25),"")</f>
        <v/>
      </c>
      <c r="I26" s="10" t="str">
        <f t="shared" ref="I26" si="57">IFERROR((I25-H25)/ABS(H25),"")</f>
        <v/>
      </c>
      <c r="J26" s="10" t="str">
        <f t="shared" ref="J26" si="58">IFERROR((J25-I25)/ABS(I25),"")</f>
        <v/>
      </c>
      <c r="K26" s="10" t="str">
        <f t="shared" ref="K26" si="59">IFERROR((K25-J25)/ABS(J25),"")</f>
        <v/>
      </c>
      <c r="L26" s="239" t="str">
        <f>IFERROR(MEDIAN(I26:K26),S14)</f>
        <v/>
      </c>
      <c r="M26" s="240" t="str">
        <f>L26</f>
        <v/>
      </c>
      <c r="N26" s="240" t="str">
        <f t="shared" ref="N26:P26" si="60">M26</f>
        <v/>
      </c>
      <c r="O26" s="240" t="str">
        <f t="shared" si="60"/>
        <v/>
      </c>
      <c r="P26" s="241" t="str">
        <f t="shared" si="60"/>
        <v/>
      </c>
      <c r="Q26" s="6"/>
      <c r="S26" s="7"/>
      <c r="T26" s="27"/>
      <c r="U26" s="27"/>
      <c r="V26" s="27"/>
    </row>
    <row r="27" spans="1:22" ht="16" hidden="1" customHeight="1" x14ac:dyDescent="0.2">
      <c r="T27" s="27"/>
      <c r="U27" s="27"/>
      <c r="V27" s="27"/>
    </row>
    <row r="28" spans="1:22" ht="9.75" hidden="1" customHeight="1" x14ac:dyDescent="0.2">
      <c r="T28" s="27"/>
      <c r="U28" s="27"/>
      <c r="V28" s="27"/>
    </row>
    <row r="29" spans="1:22" s="25" customFormat="1" ht="20" hidden="1" customHeight="1" x14ac:dyDescent="0.2">
      <c r="T29" s="52"/>
      <c r="U29" s="52"/>
      <c r="V29" s="52"/>
    </row>
    <row r="30" spans="1:22" s="25" customFormat="1" ht="20" hidden="1" customHeight="1" x14ac:dyDescent="0.2">
      <c r="T30" s="52"/>
      <c r="U30" s="52"/>
      <c r="V30" s="52"/>
    </row>
    <row r="31" spans="1:22" s="25" customFormat="1" ht="20" hidden="1" customHeight="1" x14ac:dyDescent="0.2">
      <c r="T31" s="52"/>
      <c r="U31" s="52"/>
      <c r="V31" s="52"/>
    </row>
    <row r="32" spans="1:22" s="25" customFormat="1" ht="20" hidden="1" customHeight="1" x14ac:dyDescent="0.2">
      <c r="T32" s="52"/>
      <c r="U32" s="52"/>
      <c r="V32" s="52"/>
    </row>
    <row r="33" spans="20:22" ht="16" hidden="1" customHeight="1" x14ac:dyDescent="0.2">
      <c r="T33" s="27"/>
      <c r="U33" s="27"/>
      <c r="V33" s="27"/>
    </row>
    <row r="34" spans="20:22" ht="16" hidden="1" customHeight="1" x14ac:dyDescent="0.2">
      <c r="T34" s="27"/>
      <c r="U34" s="27"/>
      <c r="V34" s="27"/>
    </row>
    <row r="35" spans="20:22" ht="16" hidden="1" customHeight="1" x14ac:dyDescent="0.2">
      <c r="T35" s="27"/>
      <c r="U35" s="27"/>
      <c r="V35" s="27"/>
    </row>
    <row r="36" spans="20:22" ht="16" hidden="1" customHeight="1" x14ac:dyDescent="0.2">
      <c r="T36" s="27"/>
      <c r="U36" s="27"/>
      <c r="V36" s="27"/>
    </row>
    <row r="37" spans="20:22" ht="16" hidden="1" customHeight="1" x14ac:dyDescent="0.2">
      <c r="T37" s="27"/>
      <c r="U37" s="27"/>
      <c r="V37" s="27"/>
    </row>
    <row r="38" spans="20:22" ht="16" hidden="1" customHeight="1" x14ac:dyDescent="0.2">
      <c r="T38" s="27"/>
      <c r="U38" s="27"/>
      <c r="V38" s="27"/>
    </row>
    <row r="48" spans="20:22" ht="17" thickTop="1" x14ac:dyDescent="0.2"/>
    <row r="57" spans="1:1" hidden="1" x14ac:dyDescent="0.2">
      <c r="A57" s="53"/>
    </row>
    <row r="58" spans="1:1" hidden="1" x14ac:dyDescent="0.2">
      <c r="A58" s="53"/>
    </row>
  </sheetData>
  <mergeCells count="4">
    <mergeCell ref="O1:P1"/>
    <mergeCell ref="S9:S10"/>
    <mergeCell ref="R16:R17"/>
    <mergeCell ref="G1:N1"/>
  </mergeCells>
  <conditionalFormatting sqref="B7 D7:K7">
    <cfRule type="cellIs" dxfId="16" priority="6" operator="lessThan">
      <formula>0</formula>
    </cfRule>
  </conditionalFormatting>
  <conditionalFormatting sqref="B4:K4 B11:K11 B24:K24">
    <cfRule type="cellIs" dxfId="15" priority="8" operator="lessThan">
      <formula>0</formula>
    </cfRule>
  </conditionalFormatting>
  <conditionalFormatting sqref="B22:K22">
    <cfRule type="cellIs" dxfId="14" priority="3" operator="lessThan">
      <formula>0</formula>
    </cfRule>
  </conditionalFormatting>
  <conditionalFormatting sqref="B26:K26">
    <cfRule type="cellIs" dxfId="13" priority="4" operator="lessThan">
      <formula>0</formula>
    </cfRule>
    <cfRule type="cellIs" dxfId="12" priority="5" operator="lessThan">
      <formula>0</formula>
    </cfRule>
  </conditionalFormatting>
  <conditionalFormatting sqref="C7">
    <cfRule type="cellIs" dxfId="11" priority="2" operator="lessThan">
      <formula>0</formula>
    </cfRule>
  </conditionalFormatting>
  <conditionalFormatting sqref="G1">
    <cfRule type="expression" dxfId="10" priority="1">
      <formula>COUNTIF($B$1:$J$2,"*LTM*")&gt;0</formula>
    </cfRule>
  </conditionalFormatting>
  <pageMargins left="0.7" right="0.7" top="0.75" bottom="0.75" header="0.3" footer="0.3"/>
  <pageSetup paperSize="9" orientation="portrait" r:id="rId1"/>
  <ignoredErrors>
    <ignoredError sqref="I23:K23 I2:K3 I5:K6 I4:K4 I8:K10 I7:K7 I12:K21 I11:K11 I22:K22 I25:K25 I24:K24 I26:K26" calculatedColumn="1"/>
    <ignoredError sqref="C25:H25" formula="1"/>
  </ignoredErrors>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T68"/>
  <sheetViews>
    <sheetView showGridLines="0" zoomScale="79" zoomScaleNormal="79" workbookViewId="0">
      <pane xSplit="1" ySplit="2" topLeftCell="B3" activePane="bottomRight" state="frozen"/>
      <selection pane="topRight" activeCell="B1" sqref="B1"/>
      <selection pane="bottomLeft" activeCell="A3" sqref="A3"/>
      <selection pane="bottomRight"/>
    </sheetView>
  </sheetViews>
  <sheetFormatPr baseColWidth="10" defaultColWidth="0" defaultRowHeight="16" x14ac:dyDescent="0.2"/>
  <cols>
    <col min="1" max="1" width="56.83203125" style="4" customWidth="1"/>
    <col min="2" max="11" width="12.33203125" style="5" customWidth="1"/>
    <col min="12" max="12" width="12.83203125" style="5" bestFit="1" customWidth="1"/>
    <col min="13" max="16" width="12.33203125" style="5" customWidth="1"/>
    <col min="17" max="17" width="12.83203125" style="5" customWidth="1"/>
    <col min="18" max="18" width="10" style="4" customWidth="1"/>
    <col min="19" max="20" width="15.5" style="4" hidden="1" customWidth="1"/>
    <col min="21" max="16384" width="9.1640625" style="4" hidden="1"/>
  </cols>
  <sheetData>
    <row r="1" spans="1:17" ht="50" customHeight="1" x14ac:dyDescent="0.2">
      <c r="A1" s="235" t="str">
        <f>IF('1.IS'!A1&lt;&gt;"",'1.IS'!A1,"")</f>
        <v/>
      </c>
      <c r="B1" s="17" t="s">
        <v>69</v>
      </c>
      <c r="O1" s="300" t="e" vm="1">
        <v>#VALUE!</v>
      </c>
      <c r="P1" s="300"/>
    </row>
    <row r="2" spans="1:17" s="6" customFormat="1" ht="35" customHeight="1" x14ac:dyDescent="0.2">
      <c r="A2" s="102" t="s">
        <v>67</v>
      </c>
      <c r="B2" s="55" t="str">
        <f>'1.IS'!B$2</f>
        <v/>
      </c>
      <c r="C2" s="55" t="str">
        <f>'1.IS'!C$2</f>
        <v/>
      </c>
      <c r="D2" s="55" t="str">
        <f>'1.IS'!D$2</f>
        <v/>
      </c>
      <c r="E2" s="55" t="str">
        <f>'1.IS'!E$2</f>
        <v/>
      </c>
      <c r="F2" s="55" t="str">
        <f>'1.IS'!F$2</f>
        <v/>
      </c>
      <c r="G2" s="55" t="str">
        <f>'1.IS'!G$2</f>
        <v/>
      </c>
      <c r="H2" s="55" t="str">
        <f>'1.IS'!H$2</f>
        <v/>
      </c>
      <c r="I2" s="55" t="str">
        <f>'1.IS'!I$2</f>
        <v/>
      </c>
      <c r="J2" s="55" t="str">
        <f>'1.IS'!J$2</f>
        <v/>
      </c>
      <c r="K2" s="55" t="str">
        <f>'1.IS'!K$2</f>
        <v/>
      </c>
      <c r="L2" s="8" t="str">
        <f>'1.IS'!L$2</f>
        <v/>
      </c>
      <c r="M2" s="8" t="str">
        <f>'1.IS'!M$2</f>
        <v/>
      </c>
      <c r="N2" s="8" t="str">
        <f>'1.IS'!N$2</f>
        <v/>
      </c>
      <c r="O2" s="8" t="str">
        <f>'1.IS'!O$2</f>
        <v/>
      </c>
      <c r="P2" s="8" t="str">
        <f>'1.IS'!P$2</f>
        <v/>
      </c>
      <c r="Q2" s="16"/>
    </row>
    <row r="3" spans="1:17" s="6" customFormat="1" ht="28" customHeight="1" x14ac:dyDescent="0.2">
      <c r="A3" s="114" t="s">
        <v>2</v>
      </c>
      <c r="B3" s="106">
        <f>'1.IS'!B5</f>
        <v>0</v>
      </c>
      <c r="C3" s="83">
        <f>'1.IS'!C5</f>
        <v>0</v>
      </c>
      <c r="D3" s="83">
        <f>'1.IS'!D5</f>
        <v>0</v>
      </c>
      <c r="E3" s="83">
        <f>'1.IS'!E5</f>
        <v>0</v>
      </c>
      <c r="F3" s="83">
        <f>'1.IS'!F5</f>
        <v>0</v>
      </c>
      <c r="G3" s="83">
        <f>'1.IS'!G5</f>
        <v>0</v>
      </c>
      <c r="H3" s="83">
        <f>'1.IS'!H5</f>
        <v>0</v>
      </c>
      <c r="I3" s="83">
        <f>'1.IS'!I5</f>
        <v>0</v>
      </c>
      <c r="J3" s="83">
        <f>'1.IS'!J5</f>
        <v>0</v>
      </c>
      <c r="K3" s="83">
        <f>'1.IS'!K5</f>
        <v>0</v>
      </c>
      <c r="L3" s="106" t="str">
        <f>'1.IS'!L5</f>
        <v/>
      </c>
      <c r="M3" s="83" t="str">
        <f>'1.IS'!M5</f>
        <v/>
      </c>
      <c r="N3" s="83" t="str">
        <f>'1.IS'!N5</f>
        <v/>
      </c>
      <c r="O3" s="83" t="str">
        <f>'1.IS'!O5</f>
        <v/>
      </c>
      <c r="P3" s="115" t="str">
        <f>'1.IS'!P5</f>
        <v/>
      </c>
      <c r="Q3" s="9"/>
    </row>
    <row r="4" spans="1:17" s="6" customFormat="1" ht="25" customHeight="1" x14ac:dyDescent="0.2">
      <c r="A4" s="116" t="s">
        <v>149</v>
      </c>
      <c r="B4" s="107">
        <f>IFERROR(VLOOKUP("CapEx Mantenimiento",TIKR_Cálculos!$A:$K,COLUMN(B4),FALSE),"0")</f>
        <v>0</v>
      </c>
      <c r="C4" s="84">
        <f>IFERROR(VLOOKUP("CapEx Mantenimiento",TIKR_Cálculos!$A:$K,COLUMN(C4),FALSE),"0")</f>
        <v>0</v>
      </c>
      <c r="D4" s="84">
        <f>IFERROR(VLOOKUP("CapEx Mantenimiento",TIKR_Cálculos!$A:$K,COLUMN(D4),FALSE),"0")</f>
        <v>0</v>
      </c>
      <c r="E4" s="84">
        <f>IFERROR(VLOOKUP("CapEx Mantenimiento",TIKR_Cálculos!$A:$K,COLUMN(E4),FALSE),"0")</f>
        <v>0</v>
      </c>
      <c r="F4" s="84">
        <f>IFERROR(VLOOKUP("CapEx Mantenimiento",TIKR_Cálculos!$A:$K,COLUMN(F4),FALSE),"0")</f>
        <v>0</v>
      </c>
      <c r="G4" s="84">
        <f>IFERROR(VLOOKUP("CapEx Mantenimiento",TIKR_Cálculos!$A:$K,COLUMN(G4),FALSE),"0")</f>
        <v>0</v>
      </c>
      <c r="H4" s="84">
        <f>IFERROR(VLOOKUP("CapEx Mantenimiento",TIKR_Cálculos!$A:$K,COLUMN(H4),FALSE),"0")</f>
        <v>0</v>
      </c>
      <c r="I4" s="84">
        <f>IFERROR(VLOOKUP("CapEx Mantenimiento",TIKR_Cálculos!$A:$K,COLUMN(I4),FALSE),"0")</f>
        <v>0</v>
      </c>
      <c r="J4" s="84">
        <f>IFERROR(VLOOKUP("CapEx Mantenimiento",TIKR_Cálculos!$A:$K,COLUMN(J4),FALSE),"0")</f>
        <v>0</v>
      </c>
      <c r="K4" s="84">
        <f>IFERROR(VLOOKUP("CapEx Mantenimiento",TIKR_Cálculos!$A:$K,COLUMN(K4),FALSE),"0")</f>
        <v>0</v>
      </c>
      <c r="L4" s="121" t="str">
        <f>IFERROR(-L22*'1.IS'!L3,"")</f>
        <v/>
      </c>
      <c r="M4" s="87" t="str">
        <f>IFERROR(-M22*'1.IS'!M3,"")</f>
        <v/>
      </c>
      <c r="N4" s="87" t="str">
        <f>IFERROR(-N22*'1.IS'!N3,"")</f>
        <v/>
      </c>
      <c r="O4" s="87" t="str">
        <f>IFERROR(-O22*'1.IS'!O3,"")</f>
        <v/>
      </c>
      <c r="P4" s="125" t="str">
        <f>IFERROR(-P22*'1.IS'!P3,"")</f>
        <v/>
      </c>
      <c r="Q4" s="13"/>
    </row>
    <row r="5" spans="1:17" s="6" customFormat="1" ht="25" customHeight="1" x14ac:dyDescent="0.2">
      <c r="A5" s="18" t="s">
        <v>117</v>
      </c>
      <c r="B5" s="121">
        <f>'1.IS'!B14</f>
        <v>0</v>
      </c>
      <c r="C5" s="87">
        <f>'1.IS'!C14</f>
        <v>0</v>
      </c>
      <c r="D5" s="87">
        <f>'1.IS'!D14</f>
        <v>0</v>
      </c>
      <c r="E5" s="87">
        <f>'1.IS'!E14</f>
        <v>0</v>
      </c>
      <c r="F5" s="87">
        <f>'1.IS'!F14</f>
        <v>0</v>
      </c>
      <c r="G5" s="87">
        <f>'1.IS'!G14</f>
        <v>0</v>
      </c>
      <c r="H5" s="87">
        <f>'1.IS'!H14</f>
        <v>0</v>
      </c>
      <c r="I5" s="87">
        <f>'1.IS'!I14</f>
        <v>0</v>
      </c>
      <c r="J5" s="87">
        <f>'1.IS'!J14</f>
        <v>0</v>
      </c>
      <c r="K5" s="87">
        <f>'1.IS'!K14</f>
        <v>0</v>
      </c>
      <c r="L5" s="121">
        <f>'1.IS'!L14</f>
        <v>0</v>
      </c>
      <c r="M5" s="87">
        <f>'1.IS'!M14</f>
        <v>0</v>
      </c>
      <c r="N5" s="87">
        <f>'1.IS'!N14</f>
        <v>0</v>
      </c>
      <c r="O5" s="87">
        <f>'1.IS'!O14</f>
        <v>0</v>
      </c>
      <c r="P5" s="125">
        <f>'1.IS'!P14</f>
        <v>0</v>
      </c>
      <c r="Q5" s="13"/>
    </row>
    <row r="6" spans="1:17" s="6" customFormat="1" ht="25" customHeight="1" x14ac:dyDescent="0.2">
      <c r="A6" s="18" t="s">
        <v>75</v>
      </c>
      <c r="B6" s="121" t="str">
        <f>'1.IS'!B16</f>
        <v>0</v>
      </c>
      <c r="C6" s="87" t="str">
        <f>'1.IS'!C16</f>
        <v>0</v>
      </c>
      <c r="D6" s="87" t="str">
        <f>'1.IS'!D16</f>
        <v>0</v>
      </c>
      <c r="E6" s="87" t="str">
        <f>'1.IS'!E16</f>
        <v>0</v>
      </c>
      <c r="F6" s="87" t="str">
        <f>'1.IS'!F16</f>
        <v>0</v>
      </c>
      <c r="G6" s="87" t="str">
        <f>'1.IS'!G16</f>
        <v>0</v>
      </c>
      <c r="H6" s="87" t="str">
        <f>'1.IS'!H16</f>
        <v>0</v>
      </c>
      <c r="I6" s="87" t="str">
        <f>'1.IS'!I16</f>
        <v>0</v>
      </c>
      <c r="J6" s="87" t="str">
        <f>'1.IS'!J16</f>
        <v>0</v>
      </c>
      <c r="K6" s="87" t="str">
        <f>'1.IS'!K16</f>
        <v>0</v>
      </c>
      <c r="L6" s="121" t="str">
        <f>'1.IS'!L16</f>
        <v/>
      </c>
      <c r="M6" s="87" t="str">
        <f>'1.IS'!M16</f>
        <v/>
      </c>
      <c r="N6" s="87" t="str">
        <f>'1.IS'!N16</f>
        <v/>
      </c>
      <c r="O6" s="87" t="str">
        <f>'1.IS'!O16</f>
        <v/>
      </c>
      <c r="P6" s="125" t="str">
        <f>'1.IS'!P16</f>
        <v/>
      </c>
      <c r="Q6" s="13"/>
    </row>
    <row r="7" spans="1:17" s="6" customFormat="1" ht="25" customHeight="1" x14ac:dyDescent="0.2">
      <c r="A7" s="126" t="s">
        <v>200</v>
      </c>
      <c r="B7" s="107" t="str">
        <f>IFERROR(VLOOKUP("Inventory*",'8.TIKR_BS'!$A:$K,COLUMN(B7),FALSE),"0")</f>
        <v>0</v>
      </c>
      <c r="C7" s="84" t="str">
        <f>IFERROR(VLOOKUP("Inventory*",'8.TIKR_BS'!$A:$K,COLUMN(C7),FALSE),"0")</f>
        <v>0</v>
      </c>
      <c r="D7" s="84" t="str">
        <f>IFERROR(VLOOKUP("Inventory*",'8.TIKR_BS'!$A:$K,COLUMN(D7),FALSE),"0")</f>
        <v>0</v>
      </c>
      <c r="E7" s="84" t="str">
        <f>IFERROR(VLOOKUP("Inventory*",'8.TIKR_BS'!$A:$K,COLUMN(E7),FALSE),"0")</f>
        <v>0</v>
      </c>
      <c r="F7" s="84" t="str">
        <f>IFERROR(VLOOKUP("Inventory*",'8.TIKR_BS'!$A:$K,COLUMN(F7),FALSE),"0")</f>
        <v>0</v>
      </c>
      <c r="G7" s="84" t="str">
        <f>IFERROR(VLOOKUP("Inventory*",'8.TIKR_BS'!$A:$K,COLUMN(G7),FALSE),"0")</f>
        <v>0</v>
      </c>
      <c r="H7" s="84" t="str">
        <f>IFERROR(VLOOKUP("Inventory*",'8.TIKR_BS'!$A:$K,COLUMN(H7),FALSE),"0")</f>
        <v>0</v>
      </c>
      <c r="I7" s="84" t="str">
        <f>IFERROR(VLOOKUP("Inventory*",'8.TIKR_BS'!$A:$K,COLUMN(I7),FALSE),"0")</f>
        <v>0</v>
      </c>
      <c r="J7" s="84" t="str">
        <f>IFERROR(VLOOKUP("Inventory*",'8.TIKR_BS'!$A:$K,COLUMN(J7),FALSE),"0")</f>
        <v>0</v>
      </c>
      <c r="K7" s="84" t="str">
        <f>IFERROR(VLOOKUP("Inventory*",'8.TIKR_BS'!$A:$K,COLUMN(K7),FALSE),"0")</f>
        <v>0</v>
      </c>
      <c r="L7" s="121"/>
      <c r="M7" s="87"/>
      <c r="N7" s="87"/>
      <c r="O7" s="87"/>
      <c r="P7" s="125"/>
      <c r="Q7" s="13"/>
    </row>
    <row r="8" spans="1:17" s="6" customFormat="1" ht="25" customHeight="1" x14ac:dyDescent="0.2">
      <c r="A8" s="126" t="s">
        <v>201</v>
      </c>
      <c r="B8" s="107" t="str">
        <f>IFERROR(VLOOKUP("Accounts Receivable*",'8.TIKR_BS'!$A:$K,COLUMN(B8),FALSE),"0")</f>
        <v>0</v>
      </c>
      <c r="C8" s="84" t="str">
        <f>IFERROR(VLOOKUP("Accounts Receivable*",'8.TIKR_BS'!$A:$K,COLUMN(C8),FALSE),"0")</f>
        <v>0</v>
      </c>
      <c r="D8" s="84" t="str">
        <f>IFERROR(VLOOKUP("Accounts Receivable*",'8.TIKR_BS'!$A:$K,COLUMN(D8),FALSE),"0")</f>
        <v>0</v>
      </c>
      <c r="E8" s="84" t="str">
        <f>IFERROR(VLOOKUP("Accounts Receivable*",'8.TIKR_BS'!$A:$K,COLUMN(E8),FALSE),"0")</f>
        <v>0</v>
      </c>
      <c r="F8" s="84" t="str">
        <f>IFERROR(VLOOKUP("Accounts Receivable*",'8.TIKR_BS'!$A:$K,COLUMN(F8),FALSE),"0")</f>
        <v>0</v>
      </c>
      <c r="G8" s="84" t="str">
        <f>IFERROR(VLOOKUP("Accounts Receivable*",'8.TIKR_BS'!$A:$K,COLUMN(G8),FALSE),"0")</f>
        <v>0</v>
      </c>
      <c r="H8" s="84" t="str">
        <f>IFERROR(VLOOKUP("Accounts Receivable*",'8.TIKR_BS'!$A:$K,COLUMN(H8),FALSE),"0")</f>
        <v>0</v>
      </c>
      <c r="I8" s="84" t="str">
        <f>IFERROR(VLOOKUP("Accounts Receivable*",'8.TIKR_BS'!$A:$K,COLUMN(I8),FALSE),"0")</f>
        <v>0</v>
      </c>
      <c r="J8" s="84" t="str">
        <f>IFERROR(VLOOKUP("Accounts Receivable*",'8.TIKR_BS'!$A:$K,COLUMN(J8),FALSE),"0")</f>
        <v>0</v>
      </c>
      <c r="K8" s="84" t="str">
        <f>IFERROR(VLOOKUP("Accounts Receivable*",'8.TIKR_BS'!$A:$K,COLUMN(K8),FALSE),"0")</f>
        <v>0</v>
      </c>
      <c r="L8" s="121"/>
      <c r="M8" s="87"/>
      <c r="N8" s="87"/>
      <c r="O8" s="87"/>
      <c r="P8" s="125"/>
      <c r="Q8" s="13"/>
    </row>
    <row r="9" spans="1:17" s="6" customFormat="1" ht="25" customHeight="1" x14ac:dyDescent="0.2">
      <c r="A9" s="126" t="s">
        <v>199</v>
      </c>
      <c r="B9" s="107" t="str">
        <f>IFERROR(VLOOKUP("Accounts Payable*",'8.TIKR_BS'!$A:$K,COLUMN(B9),FALSE),"0")</f>
        <v>0</v>
      </c>
      <c r="C9" s="84" t="str">
        <f>IFERROR(VLOOKUP("Accounts Payable*",'8.TIKR_BS'!$A:$K,COLUMN(C9),FALSE),"0")</f>
        <v>0</v>
      </c>
      <c r="D9" s="84" t="str">
        <f>IFERROR(VLOOKUP("Accounts Payable*",'8.TIKR_BS'!$A:$K,COLUMN(D9),FALSE),"0")</f>
        <v>0</v>
      </c>
      <c r="E9" s="84" t="str">
        <f>IFERROR(VLOOKUP("Accounts Payable*",'8.TIKR_BS'!$A:$K,COLUMN(E9),FALSE),"0")</f>
        <v>0</v>
      </c>
      <c r="F9" s="84" t="str">
        <f>IFERROR(VLOOKUP("Accounts Payable*",'8.TIKR_BS'!$A:$K,COLUMN(F9),FALSE),"0")</f>
        <v>0</v>
      </c>
      <c r="G9" s="84" t="str">
        <f>IFERROR(VLOOKUP("Accounts Payable*",'8.TIKR_BS'!$A:$K,COLUMN(G9),FALSE),"0")</f>
        <v>0</v>
      </c>
      <c r="H9" s="84" t="str">
        <f>IFERROR(VLOOKUP("Accounts Payable*",'8.TIKR_BS'!$A:$K,COLUMN(H9),FALSE),"0")</f>
        <v>0</v>
      </c>
      <c r="I9" s="84" t="str">
        <f>IFERROR(VLOOKUP("Accounts Payable*",'8.TIKR_BS'!$A:$K,COLUMN(I9),FALSE),"0")</f>
        <v>0</v>
      </c>
      <c r="J9" s="84" t="str">
        <f>IFERROR(VLOOKUP("Accounts Payable*",'8.TIKR_BS'!$A:$K,COLUMN(J9),FALSE),"0")</f>
        <v>0</v>
      </c>
      <c r="K9" s="84" t="str">
        <f>IFERROR(VLOOKUP("Accounts Payable*",'8.TIKR_BS'!$A:$K,COLUMN(K9),FALSE),"0")</f>
        <v>0</v>
      </c>
      <c r="L9" s="121"/>
      <c r="M9" s="87"/>
      <c r="N9" s="87"/>
      <c r="O9" s="87"/>
      <c r="P9" s="125"/>
      <c r="Q9" s="13"/>
    </row>
    <row r="10" spans="1:17" s="6" customFormat="1" ht="25" customHeight="1" x14ac:dyDescent="0.2">
      <c r="A10" s="126" t="s">
        <v>207</v>
      </c>
      <c r="B10" s="107">
        <f>IFERROR(VLOOKUP("Unearned Revenue Current*",'8.TIKR_BS'!$A:$K,COLUMN(B9),FALSE),"0")+IFERROR(VLOOKUP("Unearned Revenue Non Current*",'8.TIKR_BS'!$A:$K,COLUMN(B9),FALSE),"0")</f>
        <v>0</v>
      </c>
      <c r="C10" s="84">
        <f>IFERROR(VLOOKUP("Unearned Revenue Current*",'8.TIKR_BS'!$A:$K,COLUMN(C9),FALSE),"0")+IFERROR(VLOOKUP("Unearned Revenue Non Current*",'8.TIKR_BS'!$A:$K,COLUMN(C9),FALSE),"0")</f>
        <v>0</v>
      </c>
      <c r="D10" s="84">
        <f>IFERROR(VLOOKUP("Unearned Revenue Current*",'8.TIKR_BS'!$A:$K,COLUMN(D9),FALSE),"0")+IFERROR(VLOOKUP("Unearned Revenue Non Current*",'8.TIKR_BS'!$A:$K,COLUMN(D9),FALSE),"0")</f>
        <v>0</v>
      </c>
      <c r="E10" s="84">
        <f>IFERROR(VLOOKUP("Unearned Revenue Current*",'8.TIKR_BS'!$A:$K,COLUMN(E9),FALSE),"0")+IFERROR(VLOOKUP("Unearned Revenue Non Current*",'8.TIKR_BS'!$A:$K,COLUMN(E9),FALSE),"0")</f>
        <v>0</v>
      </c>
      <c r="F10" s="84">
        <f>IFERROR(VLOOKUP("Unearned Revenue Current*",'8.TIKR_BS'!$A:$K,COLUMN(F9),FALSE),"0")+IFERROR(VLOOKUP("Unearned Revenue Non Current*",'8.TIKR_BS'!$A:$K,COLUMN(F9),FALSE),"0")</f>
        <v>0</v>
      </c>
      <c r="G10" s="84">
        <f>IFERROR(VLOOKUP("Unearned Revenue Current*",'8.TIKR_BS'!$A:$K,COLUMN(G9),FALSE),"0")+IFERROR(VLOOKUP("Unearned Revenue Non Current*",'8.TIKR_BS'!$A:$K,COLUMN(G9),FALSE),"0")</f>
        <v>0</v>
      </c>
      <c r="H10" s="84">
        <f>IFERROR(VLOOKUP("Unearned Revenue Current*",'8.TIKR_BS'!$A:$K,COLUMN(H9),FALSE),"0")+IFERROR(VLOOKUP("Unearned Revenue Non Current*",'8.TIKR_BS'!$A:$K,COLUMN(H9),FALSE),"0")</f>
        <v>0</v>
      </c>
      <c r="I10" s="84">
        <f>IFERROR(VLOOKUP("Unearned Revenue Current*",'8.TIKR_BS'!$A:$K,COLUMN(I9),FALSE),"0")+IFERROR(VLOOKUP("Unearned Revenue Non Current*",'8.TIKR_BS'!$A:$K,COLUMN(I9),FALSE),"0")</f>
        <v>0</v>
      </c>
      <c r="J10" s="84">
        <f>IFERROR(VLOOKUP("Unearned Revenue Current*",'8.TIKR_BS'!$A:$K,COLUMN(J9),FALSE),"0")+IFERROR(VLOOKUP("Unearned Revenue Non Current*",'8.TIKR_BS'!$A:$K,COLUMN(J9),FALSE),"0")</f>
        <v>0</v>
      </c>
      <c r="K10" s="84">
        <f>IFERROR(VLOOKUP("Unearned Revenue Current*",'8.TIKR_BS'!$A:$K,COLUMN(K9),FALSE),"0")+IFERROR(VLOOKUP("Unearned Revenue Non Current*",'8.TIKR_BS'!$A:$K,COLUMN(K9),FALSE),"0")</f>
        <v>0</v>
      </c>
      <c r="L10" s="121"/>
      <c r="M10" s="87"/>
      <c r="N10" s="87"/>
      <c r="O10" s="87"/>
      <c r="P10" s="125"/>
      <c r="Q10" s="13"/>
    </row>
    <row r="11" spans="1:17" s="6" customFormat="1" ht="25" customHeight="1" x14ac:dyDescent="0.2">
      <c r="A11" s="18" t="s">
        <v>121</v>
      </c>
      <c r="B11" s="121">
        <f>B7+B8-B9-B10</f>
        <v>0</v>
      </c>
      <c r="C11" s="87">
        <f t="shared" ref="C11:K11" si="0">C7+C8-C9-C10</f>
        <v>0</v>
      </c>
      <c r="D11" s="87">
        <f t="shared" si="0"/>
        <v>0</v>
      </c>
      <c r="E11" s="87">
        <f t="shared" si="0"/>
        <v>0</v>
      </c>
      <c r="F11" s="87">
        <f t="shared" si="0"/>
        <v>0</v>
      </c>
      <c r="G11" s="87">
        <f t="shared" si="0"/>
        <v>0</v>
      </c>
      <c r="H11" s="87">
        <f t="shared" si="0"/>
        <v>0</v>
      </c>
      <c r="I11" s="87">
        <f t="shared" si="0"/>
        <v>0</v>
      </c>
      <c r="J11" s="87">
        <f t="shared" si="0"/>
        <v>0</v>
      </c>
      <c r="K11" s="87">
        <f t="shared" si="0"/>
        <v>0</v>
      </c>
      <c r="L11" s="121">
        <f>IFERROR(IF(AND(L7&lt;&gt;"",L8&lt;&gt;"",L10&lt;&gt;""),L7+L8-L9-L10,IFERROR(L23*'1.IS'!L3,0)),"")</f>
        <v>0</v>
      </c>
      <c r="M11" s="87">
        <f>IFERROR(IF(AND(M7&lt;&gt;"",M8&lt;&gt;"",M10&lt;&gt;""),M7+M8-M9-M10,IFERROR(M23*'1.IS'!M3,0)),"")</f>
        <v>0</v>
      </c>
      <c r="N11" s="87">
        <f>IFERROR(IF(AND(N7&lt;&gt;"",N8&lt;&gt;"",N10&lt;&gt;""),N7+N8-N9-N10,IFERROR(N23*'1.IS'!N3,0)),"")</f>
        <v>0</v>
      </c>
      <c r="O11" s="87">
        <f>IFERROR(IF(AND(O7&lt;&gt;"",O8&lt;&gt;"",O10&lt;&gt;""),O7+O8-O9-O10,IFERROR(O23*'1.IS'!O3,0)),"")</f>
        <v>0</v>
      </c>
      <c r="P11" s="125">
        <f>IFERROR(IF(AND(P7&lt;&gt;"",P8&lt;&gt;"",P10&lt;&gt;""),P7+P8-P9-P10,IFERROR(P23*'1.IS'!P3,0)),"")</f>
        <v>0</v>
      </c>
      <c r="Q11" s="13"/>
    </row>
    <row r="12" spans="1:17" s="6" customFormat="1" ht="25" customHeight="1" x14ac:dyDescent="0.2">
      <c r="A12" s="18" t="s">
        <v>120</v>
      </c>
      <c r="B12" s="121"/>
      <c r="C12" s="87">
        <f>IF(B9&gt;0,C11-B11,0)</f>
        <v>0</v>
      </c>
      <c r="D12" s="87">
        <f t="shared" ref="D12:K12" si="1">IF(C9&gt;0,D11-C11,0)</f>
        <v>0</v>
      </c>
      <c r="E12" s="87">
        <f t="shared" si="1"/>
        <v>0</v>
      </c>
      <c r="F12" s="87">
        <f t="shared" si="1"/>
        <v>0</v>
      </c>
      <c r="G12" s="87">
        <f t="shared" si="1"/>
        <v>0</v>
      </c>
      <c r="H12" s="87">
        <f t="shared" si="1"/>
        <v>0</v>
      </c>
      <c r="I12" s="87">
        <f t="shared" si="1"/>
        <v>0</v>
      </c>
      <c r="J12" s="87">
        <f t="shared" si="1"/>
        <v>0</v>
      </c>
      <c r="K12" s="87">
        <f t="shared" si="1"/>
        <v>0</v>
      </c>
      <c r="L12" s="121">
        <f>IF(VALUE(L11)=0,0,L11-K11)</f>
        <v>0</v>
      </c>
      <c r="M12" s="87">
        <f t="shared" ref="M12:P12" si="2">M11-L11</f>
        <v>0</v>
      </c>
      <c r="N12" s="87">
        <f t="shared" si="2"/>
        <v>0</v>
      </c>
      <c r="O12" s="87">
        <f t="shared" si="2"/>
        <v>0</v>
      </c>
      <c r="P12" s="125">
        <f t="shared" si="2"/>
        <v>0</v>
      </c>
      <c r="Q12" s="13"/>
    </row>
    <row r="13" spans="1:17" s="6" customFormat="1" ht="25" customHeight="1" x14ac:dyDescent="0.2">
      <c r="A13" s="18" t="s">
        <v>105</v>
      </c>
      <c r="B13" s="121" t="str">
        <f>'1.IS'!B19</f>
        <v>0</v>
      </c>
      <c r="C13" s="87" t="str">
        <f>'1.IS'!C19</f>
        <v>0</v>
      </c>
      <c r="D13" s="87" t="str">
        <f>'1.IS'!D19</f>
        <v>0</v>
      </c>
      <c r="E13" s="87" t="str">
        <f>'1.IS'!E19</f>
        <v>0</v>
      </c>
      <c r="F13" s="87" t="str">
        <f>'1.IS'!F19</f>
        <v>0</v>
      </c>
      <c r="G13" s="87" t="str">
        <f>'1.IS'!G19</f>
        <v>0</v>
      </c>
      <c r="H13" s="87" t="str">
        <f>'1.IS'!H19</f>
        <v>0</v>
      </c>
      <c r="I13" s="87" t="str">
        <f>'1.IS'!I19</f>
        <v>0</v>
      </c>
      <c r="J13" s="87" t="str">
        <f>'1.IS'!J19</f>
        <v>0</v>
      </c>
      <c r="K13" s="87" t="str">
        <f>'1.IS'!K19</f>
        <v>0</v>
      </c>
      <c r="L13" s="121" t="str">
        <f>'1.IS'!L19</f>
        <v/>
      </c>
      <c r="M13" s="87" t="str">
        <f>'1.IS'!M19</f>
        <v/>
      </c>
      <c r="N13" s="87" t="str">
        <f>'1.IS'!N19</f>
        <v/>
      </c>
      <c r="O13" s="87" t="str">
        <f>'1.IS'!O19</f>
        <v/>
      </c>
      <c r="P13" s="125" t="str">
        <f>'1.IS'!P19</f>
        <v/>
      </c>
      <c r="Q13" s="13"/>
    </row>
    <row r="14" spans="1:17" s="6" customFormat="1" ht="25" customHeight="1" x14ac:dyDescent="0.2">
      <c r="A14" s="71" t="s">
        <v>13</v>
      </c>
      <c r="B14" s="122">
        <f>B3+B4+B5+B6-B12+B13</f>
        <v>0</v>
      </c>
      <c r="C14" s="88">
        <f t="shared" ref="C14:H14" si="3">C3+C4+C5+C6-C12+C13</f>
        <v>0</v>
      </c>
      <c r="D14" s="88">
        <f t="shared" si="3"/>
        <v>0</v>
      </c>
      <c r="E14" s="88">
        <f t="shared" si="3"/>
        <v>0</v>
      </c>
      <c r="F14" s="88">
        <f t="shared" si="3"/>
        <v>0</v>
      </c>
      <c r="G14" s="88">
        <f t="shared" si="3"/>
        <v>0</v>
      </c>
      <c r="H14" s="88">
        <f t="shared" si="3"/>
        <v>0</v>
      </c>
      <c r="I14" s="88">
        <f t="shared" ref="I14:K14" si="4">I3+I4+I5+I6-I12+I13</f>
        <v>0</v>
      </c>
      <c r="J14" s="88">
        <f t="shared" si="4"/>
        <v>0</v>
      </c>
      <c r="K14" s="88">
        <f t="shared" si="4"/>
        <v>0</v>
      </c>
      <c r="L14" s="122" t="str">
        <f>IFERROR(L3+L4+L5+L6-L12+L13,"")</f>
        <v/>
      </c>
      <c r="M14" s="88" t="str">
        <f t="shared" ref="M14:P14" si="5">IFERROR(M3+M4+M5+M6-M12+M13,"")</f>
        <v/>
      </c>
      <c r="N14" s="88" t="str">
        <f t="shared" si="5"/>
        <v/>
      </c>
      <c r="O14" s="88" t="str">
        <f t="shared" si="5"/>
        <v/>
      </c>
      <c r="P14" s="127" t="str">
        <f t="shared" si="5"/>
        <v/>
      </c>
      <c r="Q14" s="13"/>
    </row>
    <row r="15" spans="1:17" s="6" customFormat="1" ht="25" customHeight="1" x14ac:dyDescent="0.2">
      <c r="A15" s="128" t="s">
        <v>90</v>
      </c>
      <c r="B15" s="123" t="str">
        <f>IFERROR(B14/'1.IS'!B3,"")</f>
        <v/>
      </c>
      <c r="C15" s="22" t="str">
        <f>IFERROR(C14/'1.IS'!C3,"")</f>
        <v/>
      </c>
      <c r="D15" s="22" t="str">
        <f>IFERROR(D14/'1.IS'!D3,"")</f>
        <v/>
      </c>
      <c r="E15" s="22" t="str">
        <f>IFERROR(E14/'1.IS'!E3,"")</f>
        <v/>
      </c>
      <c r="F15" s="22" t="str">
        <f>IFERROR(F14/'1.IS'!F3,"")</f>
        <v/>
      </c>
      <c r="G15" s="22" t="str">
        <f>IFERROR(G14/'1.IS'!G3,"")</f>
        <v/>
      </c>
      <c r="H15" s="61" t="str">
        <f>IFERROR(H14/'1.IS'!H3,"")</f>
        <v/>
      </c>
      <c r="I15" s="61" t="str">
        <f>IFERROR(I14/'1.IS'!I3,"")</f>
        <v/>
      </c>
      <c r="J15" s="61" t="str">
        <f>IFERROR(J14/'1.IS'!J3,"")</f>
        <v/>
      </c>
      <c r="K15" s="61" t="str">
        <f>IFERROR(K14/'1.IS'!K3,"")</f>
        <v/>
      </c>
      <c r="L15" s="54" t="str">
        <f>IFERROR(L14/'1.IS'!L3,"")</f>
        <v/>
      </c>
      <c r="M15" s="22" t="str">
        <f>IFERROR(M14/'1.IS'!M3,"")</f>
        <v/>
      </c>
      <c r="N15" s="22" t="str">
        <f>IFERROR(N14/'1.IS'!N3,"")</f>
        <v/>
      </c>
      <c r="O15" s="22" t="str">
        <f>IFERROR(O14/'1.IS'!O3,"")</f>
        <v/>
      </c>
      <c r="P15" s="129" t="str">
        <f>IFERROR(P14/'1.IS'!P3,"")</f>
        <v/>
      </c>
      <c r="Q15" s="13"/>
    </row>
    <row r="16" spans="1:17" s="6" customFormat="1" ht="25" customHeight="1" x14ac:dyDescent="0.2">
      <c r="A16" s="66" t="s">
        <v>11</v>
      </c>
      <c r="B16" s="124"/>
      <c r="C16" s="22" t="str">
        <f>IFERROR((C14-B14)/ABS(B14),"")</f>
        <v/>
      </c>
      <c r="D16" s="22" t="str">
        <f t="shared" ref="D16:K16" si="6">IFERROR((D14-C14)/ABS(C14),"")</f>
        <v/>
      </c>
      <c r="E16" s="22" t="str">
        <f t="shared" si="6"/>
        <v/>
      </c>
      <c r="F16" s="22" t="str">
        <f t="shared" si="6"/>
        <v/>
      </c>
      <c r="G16" s="22" t="str">
        <f t="shared" si="6"/>
        <v/>
      </c>
      <c r="H16" s="61" t="str">
        <f t="shared" si="6"/>
        <v/>
      </c>
      <c r="I16" s="61" t="str">
        <f t="shared" si="6"/>
        <v/>
      </c>
      <c r="J16" s="61" t="str">
        <f t="shared" si="6"/>
        <v/>
      </c>
      <c r="K16" s="61" t="str">
        <f t="shared" si="6"/>
        <v/>
      </c>
      <c r="L16" s="54" t="str">
        <f>IFERROR((L14-K14)/K14,"")</f>
        <v/>
      </c>
      <c r="M16" s="22" t="str">
        <f t="shared" ref="M16:P16" si="7">IFERROR((M14-L14)/L14,"")</f>
        <v/>
      </c>
      <c r="N16" s="22" t="str">
        <f t="shared" si="7"/>
        <v/>
      </c>
      <c r="O16" s="22" t="str">
        <f t="shared" si="7"/>
        <v/>
      </c>
      <c r="P16" s="129" t="str">
        <f t="shared" si="7"/>
        <v/>
      </c>
      <c r="Q16" s="13"/>
    </row>
    <row r="17" spans="1:18" s="6" customFormat="1" ht="25" customHeight="1" x14ac:dyDescent="0.2">
      <c r="A17" s="66" t="s">
        <v>103</v>
      </c>
      <c r="B17" s="92" t="str">
        <f>IFERROR(B14/'1.IS'!B25,"")</f>
        <v/>
      </c>
      <c r="C17" s="90" t="str">
        <f>IFERROR(C14/'1.IS'!C25,"")</f>
        <v/>
      </c>
      <c r="D17" s="90" t="str">
        <f>IFERROR(D14/'1.IS'!D25,"")</f>
        <v/>
      </c>
      <c r="E17" s="90" t="str">
        <f>IFERROR(E14/'1.IS'!E25,"")</f>
        <v/>
      </c>
      <c r="F17" s="90" t="str">
        <f>IFERROR(F14/'1.IS'!F25,"")</f>
        <v/>
      </c>
      <c r="G17" s="90" t="str">
        <f>IFERROR(G14/'1.IS'!G25,"")</f>
        <v/>
      </c>
      <c r="H17" s="90" t="str">
        <f>IFERROR(H14/'1.IS'!H25,"")</f>
        <v/>
      </c>
      <c r="I17" s="90" t="str">
        <f>IFERROR(I14/'1.IS'!I25,"")</f>
        <v/>
      </c>
      <c r="J17" s="90" t="str">
        <f>IFERROR(J14/'1.IS'!J25,"")</f>
        <v/>
      </c>
      <c r="K17" s="90" t="str">
        <f>IFERROR(K14/'1.IS'!K25,"")</f>
        <v/>
      </c>
      <c r="L17" s="92" t="str">
        <f>IFERROR(L14/'1.IS'!L25,"")</f>
        <v/>
      </c>
      <c r="M17" s="90" t="str">
        <f>IFERROR(M14/'1.IS'!M25,"")</f>
        <v/>
      </c>
      <c r="N17" s="90" t="str">
        <f>IFERROR(N14/'1.IS'!N25,"")</f>
        <v/>
      </c>
      <c r="O17" s="90" t="str">
        <f>IFERROR(O14/'1.IS'!O25,"")</f>
        <v/>
      </c>
      <c r="P17" s="91" t="str">
        <f>IFERROR(P14/'1.IS'!P25,"")</f>
        <v/>
      </c>
      <c r="Q17" s="305" t="s">
        <v>153</v>
      </c>
      <c r="R17" s="306"/>
    </row>
    <row r="18" spans="1:18" s="6" customFormat="1" ht="25" customHeight="1" x14ac:dyDescent="0.2">
      <c r="A18" s="66" t="s">
        <v>11</v>
      </c>
      <c r="B18" s="105"/>
      <c r="C18" s="10" t="str">
        <f>IFERROR((C17-B17)/ABS(B17),"")</f>
        <v/>
      </c>
      <c r="D18" s="10" t="str">
        <f t="shared" ref="D18:K18" si="8">IFERROR((D17-C17)/ABS(C17),"")</f>
        <v/>
      </c>
      <c r="E18" s="10" t="str">
        <f t="shared" si="8"/>
        <v/>
      </c>
      <c r="F18" s="10" t="str">
        <f t="shared" si="8"/>
        <v/>
      </c>
      <c r="G18" s="10" t="str">
        <f t="shared" si="8"/>
        <v/>
      </c>
      <c r="H18" s="10" t="str">
        <f t="shared" si="8"/>
        <v/>
      </c>
      <c r="I18" s="10" t="str">
        <f t="shared" si="8"/>
        <v/>
      </c>
      <c r="J18" s="10" t="str">
        <f t="shared" si="8"/>
        <v/>
      </c>
      <c r="K18" s="10" t="str">
        <f t="shared" si="8"/>
        <v/>
      </c>
      <c r="L18" s="105" t="str">
        <f t="shared" ref="L18:P18" si="9">IFERROR((L17-K17)/K17,"")</f>
        <v/>
      </c>
      <c r="M18" s="10" t="str">
        <f t="shared" si="9"/>
        <v/>
      </c>
      <c r="N18" s="10" t="str">
        <f t="shared" si="9"/>
        <v/>
      </c>
      <c r="O18" s="10" t="str">
        <f t="shared" si="9"/>
        <v/>
      </c>
      <c r="P18" s="113" t="str">
        <f t="shared" si="9"/>
        <v/>
      </c>
      <c r="Q18" s="305"/>
      <c r="R18" s="306"/>
    </row>
    <row r="19" spans="1:18" s="6" customFormat="1" ht="25" customHeight="1" x14ac:dyDescent="0.2">
      <c r="A19" s="157" t="s">
        <v>140</v>
      </c>
      <c r="B19" s="130" t="str">
        <f>IFERROR(VLOOKUP("Net Change in Cash*",'9.TIKR_CF'!$A:$K,COLUMN(B19),FALSE),"0")</f>
        <v>0</v>
      </c>
      <c r="C19" s="131" t="str">
        <f>IFERROR(VLOOKUP("Net Change in Cash*",'9.TIKR_CF'!$A:$K,COLUMN(C19),FALSE),"0")</f>
        <v>0</v>
      </c>
      <c r="D19" s="131" t="str">
        <f>IFERROR(VLOOKUP("Net Change in Cash*",'9.TIKR_CF'!$A:$K,COLUMN(D19),FALSE),"0")</f>
        <v>0</v>
      </c>
      <c r="E19" s="131" t="str">
        <f>IFERROR(VLOOKUP("Net Change in Cash*",'9.TIKR_CF'!$A:$K,COLUMN(E19),FALSE),"0")</f>
        <v>0</v>
      </c>
      <c r="F19" s="131" t="str">
        <f>IFERROR(VLOOKUP("Net Change in Cash*",'9.TIKR_CF'!$A:$K,COLUMN(F19),FALSE),"0")</f>
        <v>0</v>
      </c>
      <c r="G19" s="131" t="str">
        <f>IFERROR(VLOOKUP("Net Change in Cash*",'9.TIKR_CF'!$A:$K,COLUMN(G19),FALSE),"0")</f>
        <v>0</v>
      </c>
      <c r="H19" s="131" t="str">
        <f>IFERROR(VLOOKUP("Net Change in Cash*",'9.TIKR_CF'!$A:$K,COLUMN(H19),FALSE),"0")</f>
        <v>0</v>
      </c>
      <c r="I19" s="131" t="str">
        <f>IFERROR(VLOOKUP("Net Change in Cash*",'9.TIKR_CF'!$A:$K,COLUMN(I19),FALSE),"0")</f>
        <v>0</v>
      </c>
      <c r="J19" s="131" t="str">
        <f>IFERROR(VLOOKUP("Net Change in Cash*",'9.TIKR_CF'!$A:$K,COLUMN(J19),FALSE),"0")</f>
        <v>0</v>
      </c>
      <c r="K19" s="131" t="str">
        <f>IFERROR(VLOOKUP("Net Change in Cash*",'9.TIKR_CF'!$A:$K,COLUMN(K19),FALSE),"0")</f>
        <v>0</v>
      </c>
      <c r="L19" s="130">
        <f>IF('4.Valoracion'!L4&gt;0,IFERROR('4.Valoracion'!L4-'4.Valoracion'!K4,0),IFERROR('4.Valoracion'!K4-'4.Valoracion'!L4,0))</f>
        <v>0</v>
      </c>
      <c r="M19" s="131">
        <f>IF('4.Valoracion'!M4&gt;0,IFERROR('4.Valoracion'!M4-'4.Valoracion'!L4,0),IFERROR('4.Valoracion'!L4-'4.Valoracion'!M4,0))</f>
        <v>0</v>
      </c>
      <c r="N19" s="131">
        <f>IF('4.Valoracion'!N4&gt;0,IFERROR('4.Valoracion'!N4-'4.Valoracion'!M4,0),IFERROR('4.Valoracion'!M4-'4.Valoracion'!N4,0))</f>
        <v>0</v>
      </c>
      <c r="O19" s="131">
        <f>IF('4.Valoracion'!O4&gt;0,IFERROR('4.Valoracion'!O4-'4.Valoracion'!N4,0),IFERROR('4.Valoracion'!N4-'4.Valoracion'!O4,0))</f>
        <v>0</v>
      </c>
      <c r="P19" s="228">
        <f>IF('4.Valoracion'!P4&gt;0,IFERROR('4.Valoracion'!P4-'4.Valoracion'!O4,0),IFERROR('4.Valoracion'!O4-'4.Valoracion'!P4,0))</f>
        <v>0</v>
      </c>
      <c r="Q19" s="305"/>
      <c r="R19" s="306"/>
    </row>
    <row r="20" spans="1:18" s="6" customFormat="1" ht="24.75" customHeight="1" x14ac:dyDescent="0.2">
      <c r="A20" s="18"/>
      <c r="B20" s="12"/>
      <c r="C20" s="12"/>
      <c r="D20" s="12"/>
      <c r="E20" s="12"/>
      <c r="F20" s="12"/>
      <c r="G20" s="12"/>
      <c r="H20" s="12"/>
      <c r="I20" s="12"/>
      <c r="J20" s="12"/>
      <c r="K20" s="12"/>
      <c r="L20" s="12"/>
      <c r="M20" s="12"/>
      <c r="N20" s="12"/>
      <c r="O20" s="12"/>
      <c r="P20" s="12"/>
      <c r="Q20" s="7"/>
    </row>
    <row r="21" spans="1:18" s="6" customFormat="1" ht="35" customHeight="1" thickBot="1" x14ac:dyDescent="0.25">
      <c r="A21" s="102" t="s">
        <v>70</v>
      </c>
      <c r="B21" s="55" t="str">
        <f>'1.IS'!B$2</f>
        <v/>
      </c>
      <c r="C21" s="55" t="str">
        <f>'1.IS'!C$2</f>
        <v/>
      </c>
      <c r="D21" s="55" t="str">
        <f>'1.IS'!D$2</f>
        <v/>
      </c>
      <c r="E21" s="55" t="str">
        <f>'1.IS'!E$2</f>
        <v/>
      </c>
      <c r="F21" s="55" t="str">
        <f>'1.IS'!F$2</f>
        <v/>
      </c>
      <c r="G21" s="55" t="str">
        <f>'1.IS'!G$2</f>
        <v/>
      </c>
      <c r="H21" s="55" t="str">
        <f>'1.IS'!H$2</f>
        <v/>
      </c>
      <c r="I21" s="55" t="str">
        <f>'1.IS'!I$2</f>
        <v/>
      </c>
      <c r="J21" s="55" t="str">
        <f>'1.IS'!J$2</f>
        <v/>
      </c>
      <c r="K21" s="55" t="str">
        <f>'1.IS'!K$2</f>
        <v/>
      </c>
      <c r="L21" s="8" t="str">
        <f>'1.IS'!L$2</f>
        <v/>
      </c>
      <c r="M21" s="8" t="str">
        <f>'1.IS'!M$2</f>
        <v/>
      </c>
      <c r="N21" s="8" t="str">
        <f>'1.IS'!N$2</f>
        <v/>
      </c>
      <c r="O21" s="8" t="str">
        <f>'1.IS'!O$2</f>
        <v/>
      </c>
      <c r="P21" s="8" t="str">
        <f>'1.IS'!P$2</f>
        <v/>
      </c>
      <c r="Q21" s="96" t="str" cm="1">
        <f t="array" ref="Q21">IFERROR("Mediana "&amp;CHAR(10)&amp;INDEX(B2:K2,MATCH(TRUE,VALUE(B2:K2)&gt;0,))&amp;"-"&amp;$K$2,"")</f>
        <v/>
      </c>
    </row>
    <row r="22" spans="1:18" s="6" customFormat="1" ht="25" customHeight="1" thickTop="1" x14ac:dyDescent="0.2">
      <c r="A22" s="18" t="s">
        <v>60</v>
      </c>
      <c r="B22" s="123" t="str">
        <f>IFERROR(ABS(B4)/'1.IS'!B$3,"")</f>
        <v/>
      </c>
      <c r="C22" s="22" t="str">
        <f>IFERROR(ABS(C4)/'1.IS'!C$3,"")</f>
        <v/>
      </c>
      <c r="D22" s="22" t="str">
        <f>IFERROR(ABS(D4)/'1.IS'!D$3,"")</f>
        <v/>
      </c>
      <c r="E22" s="22" t="str">
        <f>IFERROR(ABS(E4)/'1.IS'!E$3,"")</f>
        <v/>
      </c>
      <c r="F22" s="22" t="str">
        <f>IFERROR(ABS(F4)/'1.IS'!F$3,"")</f>
        <v/>
      </c>
      <c r="G22" s="22" t="str">
        <f>IFERROR(ABS(G4)/'1.IS'!G$3,"")</f>
        <v/>
      </c>
      <c r="H22" s="22" t="str">
        <f>IFERROR(ABS(H4)/'1.IS'!H$3,"")</f>
        <v/>
      </c>
      <c r="I22" s="22" t="str">
        <f>IFERROR(ABS(I4)/'1.IS'!I$3,"")</f>
        <v/>
      </c>
      <c r="J22" s="22" t="str">
        <f>IFERROR(ABS(J4)/'1.IS'!J$3,"")</f>
        <v/>
      </c>
      <c r="K22" s="22" t="str">
        <f>IFERROR(ABS(K4)/'1.IS'!K$3,"")</f>
        <v/>
      </c>
      <c r="L22" s="255" t="str">
        <f>IFERROR(ABS((K4*'1.IS'!L4)+'2.FCF'!K4)/'1.IS'!L$3,"")</f>
        <v/>
      </c>
      <c r="M22" s="256" t="str">
        <f>$L$22</f>
        <v/>
      </c>
      <c r="N22" s="256" t="str">
        <f t="shared" ref="N22:P22" si="10">$L$22</f>
        <v/>
      </c>
      <c r="O22" s="256" t="str">
        <f t="shared" si="10"/>
        <v/>
      </c>
      <c r="P22" s="257" t="str">
        <f t="shared" si="10"/>
        <v/>
      </c>
      <c r="Q22" s="132" t="str">
        <f>IFERROR(MEDIAN(B22:K22),"")</f>
        <v/>
      </c>
    </row>
    <row r="23" spans="1:18" s="6" customFormat="1" ht="24.75" customHeight="1" thickBot="1" x14ac:dyDescent="0.25">
      <c r="A23" s="18" t="s">
        <v>59</v>
      </c>
      <c r="B23" s="123" t="str">
        <f>IFERROR(B11/'1.IS'!B$3,"")</f>
        <v/>
      </c>
      <c r="C23" s="22" t="str">
        <f>IFERROR(C11/'1.IS'!C$3,"")</f>
        <v/>
      </c>
      <c r="D23" s="22" t="str">
        <f>IFERROR(D11/'1.IS'!D$3,"")</f>
        <v/>
      </c>
      <c r="E23" s="22" t="str">
        <f>IFERROR(E11/'1.IS'!E$3,"")</f>
        <v/>
      </c>
      <c r="F23" s="22" t="str">
        <f>IFERROR(F11/'1.IS'!F$3,"")</f>
        <v/>
      </c>
      <c r="G23" s="22" t="str">
        <f>IFERROR(G11/'1.IS'!G$3,"")</f>
        <v/>
      </c>
      <c r="H23" s="22" t="str">
        <f>IFERROR(H11/'1.IS'!H$3,"")</f>
        <v/>
      </c>
      <c r="I23" s="22" t="str">
        <f>IFERROR(I11/'1.IS'!I$3,"")</f>
        <v/>
      </c>
      <c r="J23" s="22" t="str">
        <f>IFERROR(J11/'1.IS'!J$3,"")</f>
        <v/>
      </c>
      <c r="K23" s="22" t="str">
        <f>IFERROR(K11/'1.IS'!K$3,"")</f>
        <v/>
      </c>
      <c r="L23" s="258">
        <f>IF(AND(VALUE(K7)=0,VALUE(K10)=0),0%,IFERROR(MEDIAN(I23:K23),Q23))</f>
        <v>0</v>
      </c>
      <c r="M23" s="259">
        <f>IFERROR($L$23,0%)</f>
        <v>0</v>
      </c>
      <c r="N23" s="259">
        <f t="shared" ref="N23:P23" si="11">IFERROR($L$23,0%)</f>
        <v>0</v>
      </c>
      <c r="O23" s="259">
        <f t="shared" si="11"/>
        <v>0</v>
      </c>
      <c r="P23" s="260">
        <f t="shared" si="11"/>
        <v>0</v>
      </c>
      <c r="Q23" s="132" t="str">
        <f>IFERROR(MEDIAN(B23:K23),"")</f>
        <v/>
      </c>
    </row>
    <row r="24" spans="1:18" s="6" customFormat="1" ht="25" customHeight="1" thickTop="1" x14ac:dyDescent="0.2">
      <c r="A24" s="18" t="s">
        <v>64</v>
      </c>
      <c r="B24" s="123" t="str">
        <f>IFERROR(B14/'1.IS'!B$3,"")</f>
        <v/>
      </c>
      <c r="C24" s="22" t="str">
        <f>IFERROR(C14/'1.IS'!C$3,"")</f>
        <v/>
      </c>
      <c r="D24" s="22" t="str">
        <f>IFERROR(D14/'1.IS'!D$3,"")</f>
        <v/>
      </c>
      <c r="E24" s="22" t="str">
        <f>IFERROR(E14/'1.IS'!E$3,"")</f>
        <v/>
      </c>
      <c r="F24" s="22" t="str">
        <f>IFERROR(F14/'1.IS'!F$3,"")</f>
        <v/>
      </c>
      <c r="G24" s="22" t="str">
        <f>IFERROR(G14/'1.IS'!G$3,"")</f>
        <v/>
      </c>
      <c r="H24" s="22" t="str">
        <f>IFERROR(H14/'1.IS'!H$3,"")</f>
        <v/>
      </c>
      <c r="I24" s="22" t="str">
        <f>IFERROR(I14/'1.IS'!I$3,"")</f>
        <v/>
      </c>
      <c r="J24" s="22" t="str">
        <f>IFERROR(J14/'1.IS'!J$3,"")</f>
        <v/>
      </c>
      <c r="K24" s="22" t="str">
        <f>IFERROR(K14/'1.IS'!K$3,"")</f>
        <v/>
      </c>
      <c r="L24" s="123" t="str">
        <f>IFERROR(L14/'1.IS'!L$3,"")</f>
        <v/>
      </c>
      <c r="M24" s="22" t="str">
        <f>IFERROR(M14/'1.IS'!M$3,"")</f>
        <v/>
      </c>
      <c r="N24" s="22" t="str">
        <f>IFERROR(N14/'1.IS'!N$3,"")</f>
        <v/>
      </c>
      <c r="O24" s="22" t="str">
        <f>IFERROR(O14/'1.IS'!O$3,"")</f>
        <v/>
      </c>
      <c r="P24" s="22" t="str">
        <f>IFERROR(P14/'1.IS'!P$3,"")</f>
        <v/>
      </c>
      <c r="Q24" s="132" t="str">
        <f>IFERROR(MEDIAN(B24:K24),"")</f>
        <v/>
      </c>
    </row>
    <row r="25" spans="1:18" ht="25" customHeight="1" x14ac:dyDescent="0.2">
      <c r="A25" s="23" t="s">
        <v>74</v>
      </c>
      <c r="B25" s="119" t="str">
        <f t="shared" ref="B25:P25" si="12">IFERROR(B14/B3,"")</f>
        <v/>
      </c>
      <c r="C25" s="120" t="str">
        <f t="shared" si="12"/>
        <v/>
      </c>
      <c r="D25" s="120" t="str">
        <f t="shared" si="12"/>
        <v/>
      </c>
      <c r="E25" s="120" t="str">
        <f t="shared" si="12"/>
        <v/>
      </c>
      <c r="F25" s="120" t="str">
        <f t="shared" si="12"/>
        <v/>
      </c>
      <c r="G25" s="120" t="str">
        <f t="shared" si="12"/>
        <v/>
      </c>
      <c r="H25" s="120" t="str">
        <f t="shared" si="12"/>
        <v/>
      </c>
      <c r="I25" s="120" t="str">
        <f t="shared" ref="I25:K25" si="13">IFERROR(I14/I3,"")</f>
        <v/>
      </c>
      <c r="J25" s="120" t="str">
        <f t="shared" si="13"/>
        <v/>
      </c>
      <c r="K25" s="120" t="str">
        <f t="shared" si="13"/>
        <v/>
      </c>
      <c r="L25" s="119" t="str">
        <f t="shared" si="12"/>
        <v/>
      </c>
      <c r="M25" s="120" t="str">
        <f t="shared" si="12"/>
        <v/>
      </c>
      <c r="N25" s="120" t="str">
        <f t="shared" si="12"/>
        <v/>
      </c>
      <c r="O25" s="120" t="str">
        <f t="shared" si="12"/>
        <v/>
      </c>
      <c r="P25" s="120" t="str">
        <f t="shared" si="12"/>
        <v/>
      </c>
      <c r="Q25" s="133" t="str">
        <f>IFERROR(MEDIAN(B25:K25),"")</f>
        <v/>
      </c>
    </row>
    <row r="26" spans="1:18" ht="25" customHeight="1" x14ac:dyDescent="0.2">
      <c r="A26" s="66"/>
      <c r="B26" s="10"/>
      <c r="C26" s="10"/>
      <c r="D26" s="10"/>
      <c r="E26" s="10"/>
      <c r="F26" s="10"/>
      <c r="G26" s="10"/>
      <c r="H26" s="10"/>
      <c r="I26" s="10"/>
      <c r="J26" s="10"/>
      <c r="K26" s="10"/>
      <c r="L26" s="10"/>
      <c r="M26" s="10"/>
      <c r="N26" s="10"/>
      <c r="O26" s="10"/>
      <c r="P26" s="10"/>
      <c r="Q26" s="100"/>
    </row>
    <row r="27" spans="1:18" ht="35" customHeight="1" x14ac:dyDescent="0.2">
      <c r="A27" s="102" t="s">
        <v>130</v>
      </c>
      <c r="B27" s="55" t="str">
        <f>'1.IS'!B$2</f>
        <v/>
      </c>
      <c r="C27" s="55" t="str">
        <f>'1.IS'!C$2</f>
        <v/>
      </c>
      <c r="D27" s="55" t="str">
        <f>'1.IS'!D$2</f>
        <v/>
      </c>
      <c r="E27" s="55" t="str">
        <f>'1.IS'!E$2</f>
        <v/>
      </c>
      <c r="F27" s="55" t="str">
        <f>'1.IS'!F$2</f>
        <v/>
      </c>
      <c r="G27" s="55" t="str">
        <f>'1.IS'!G$2</f>
        <v/>
      </c>
      <c r="H27" s="55" t="str">
        <f>'1.IS'!H$2</f>
        <v/>
      </c>
      <c r="I27" s="55" t="str">
        <f>'1.IS'!I$2</f>
        <v/>
      </c>
      <c r="J27" s="55" t="str">
        <f>'1.IS'!J$2</f>
        <v/>
      </c>
      <c r="K27" s="55" t="str">
        <f>'1.IS'!K$2</f>
        <v/>
      </c>
      <c r="L27" s="184" t="str" cm="1">
        <f t="array" ref="L27">IFERROR("Mediana "&amp;CHAR(10)&amp;INDEX(B2:K2,MATCH(TRUE,VALUE(B2:K2)&gt;0,))&amp;"-"&amp;$K$2,"")</f>
        <v/>
      </c>
      <c r="M27" s="68"/>
      <c r="N27" s="10"/>
      <c r="O27" s="10"/>
    </row>
    <row r="28" spans="1:18" ht="25" customHeight="1" x14ac:dyDescent="0.2">
      <c r="A28" s="18" t="s">
        <v>155</v>
      </c>
      <c r="B28" s="123" t="str">
        <f>IF(B14&gt;0,IFERROR(TIKR_Cálculos!B39/B$14,""),"-")</f>
        <v>-</v>
      </c>
      <c r="C28" s="22" t="str">
        <f>IF(C14&gt;0,IFERROR(TIKR_Cálculos!C39/C$14,""),"-")</f>
        <v>-</v>
      </c>
      <c r="D28" s="22" t="str">
        <f>IF(D14&gt;0,IFERROR(TIKR_Cálculos!D39/D$14,""),"-")</f>
        <v>-</v>
      </c>
      <c r="E28" s="22" t="str">
        <f>IF(E14&gt;0,IFERROR(TIKR_Cálculos!E39/E$14,""),"-")</f>
        <v>-</v>
      </c>
      <c r="F28" s="22" t="str">
        <f>IF(F14&gt;0,IFERROR(TIKR_Cálculos!F39/F$14,""),"-")</f>
        <v>-</v>
      </c>
      <c r="G28" s="22" t="str">
        <f>IF(G14&gt;0,IFERROR(TIKR_Cálculos!G39/G$14,""),"-")</f>
        <v>-</v>
      </c>
      <c r="H28" s="22" t="str">
        <f>IF(H14&gt;0,IFERROR(TIKR_Cálculos!H39/H$14,""),"-")</f>
        <v>-</v>
      </c>
      <c r="I28" s="22" t="str">
        <f>IF(I14&gt;0,IFERROR(TIKR_Cálculos!I39/I$14,""),"-")</f>
        <v>-</v>
      </c>
      <c r="J28" s="22" t="str">
        <f>IF(J14&gt;0,IFERROR(TIKR_Cálculos!J39/J$14,""),"-")</f>
        <v>-</v>
      </c>
      <c r="K28" s="22" t="str">
        <f>IF(K14&gt;0,IFERROR(TIKR_Cálculos!K39/K$14,""),"-")</f>
        <v>-</v>
      </c>
      <c r="L28" s="237" t="str">
        <f>IFERROR(MEDIAN(B28:K28),"")</f>
        <v/>
      </c>
      <c r="M28" s="236"/>
      <c r="N28" s="6"/>
      <c r="O28" s="10"/>
      <c r="P28" s="261"/>
      <c r="Q28" s="261"/>
    </row>
    <row r="29" spans="1:18" ht="25" customHeight="1" x14ac:dyDescent="0.2">
      <c r="A29" s="18" t="s">
        <v>177</v>
      </c>
      <c r="B29" s="123" t="str">
        <f>IF(B14&gt;0,IFERROR(TIKR_Cálculos!B42/B$14,""),"-")</f>
        <v>-</v>
      </c>
      <c r="C29" s="22" t="str">
        <f>IF(C14&gt;0,IFERROR(TIKR_Cálculos!C42/C$14,""),"-")</f>
        <v>-</v>
      </c>
      <c r="D29" s="22" t="str">
        <f>IF(D14&gt;0,IFERROR(TIKR_Cálculos!D42/D$14,""),"-")</f>
        <v>-</v>
      </c>
      <c r="E29" s="22" t="str">
        <f>IF(E14&gt;0,IFERROR(TIKR_Cálculos!E42/E$14,""),"-")</f>
        <v>-</v>
      </c>
      <c r="F29" s="22" t="str">
        <f>IF(F14&gt;0,IFERROR(TIKR_Cálculos!F42/F$14,""),"-")</f>
        <v>-</v>
      </c>
      <c r="G29" s="22" t="str">
        <f>IF(G14&gt;0,IFERROR(TIKR_Cálculos!G42/G$14,""),"-")</f>
        <v>-</v>
      </c>
      <c r="H29" s="22" t="str">
        <f>IF(H14&gt;0,IFERROR(TIKR_Cálculos!H42/H$14,""),"-")</f>
        <v>-</v>
      </c>
      <c r="I29" s="22" t="str">
        <f>IF(I14&gt;0,IFERROR(TIKR_Cálculos!I42/I$14,""),"-")</f>
        <v>-</v>
      </c>
      <c r="J29" s="22" t="str">
        <f>IF(J14&gt;0,IFERROR(TIKR_Cálculos!J42/J$14,""),"-")</f>
        <v>-</v>
      </c>
      <c r="K29" s="22" t="str">
        <f>IF(K14&gt;0,IFERROR(TIKR_Cálculos!K42/K$14,""),"-")</f>
        <v>-</v>
      </c>
      <c r="L29" s="238" t="str">
        <f>IFERROR(MEDIAN(B29:K29),"")</f>
        <v/>
      </c>
      <c r="M29" s="236"/>
      <c r="N29" s="6"/>
      <c r="O29" s="10"/>
      <c r="P29" s="261"/>
      <c r="Q29" s="261"/>
    </row>
    <row r="30" spans="1:18" ht="25" customHeight="1" x14ac:dyDescent="0.2">
      <c r="A30" s="18" t="s">
        <v>132</v>
      </c>
      <c r="B30" s="123" t="str">
        <f>IF(B14&gt;0,IFERROR(TIKR_Cálculos!B40/B$14,""),"-")</f>
        <v>-</v>
      </c>
      <c r="C30" s="22" t="str">
        <f>IF(C14&gt;0,IFERROR(TIKR_Cálculos!C40/C$14,""),"-")</f>
        <v>-</v>
      </c>
      <c r="D30" s="22" t="str">
        <f>IF(D14&gt;0,IFERROR(TIKR_Cálculos!D40/D$14,""),"-")</f>
        <v>-</v>
      </c>
      <c r="E30" s="22" t="str">
        <f>IF(E14&gt;0,IFERROR(TIKR_Cálculos!E40/E$14,""),"-")</f>
        <v>-</v>
      </c>
      <c r="F30" s="22" t="str">
        <f>IF(F14&gt;0,IFERROR(TIKR_Cálculos!F40/F$14,""),"-")</f>
        <v>-</v>
      </c>
      <c r="G30" s="22" t="str">
        <f>IF(G14&gt;0,IFERROR(TIKR_Cálculos!G40/G$14,""),"-")</f>
        <v>-</v>
      </c>
      <c r="H30" s="22" t="str">
        <f>IF(H14&gt;0,IFERROR(TIKR_Cálculos!H40/H$14,""),"-")</f>
        <v>-</v>
      </c>
      <c r="I30" s="22" t="str">
        <f>IF(I14&gt;0,IFERROR(TIKR_Cálculos!I40/I$14,""),"-")</f>
        <v>-</v>
      </c>
      <c r="J30" s="22" t="str">
        <f>IF(J14&gt;0,IFERROR(TIKR_Cálculos!J40/J$14,""),"-")</f>
        <v>-</v>
      </c>
      <c r="K30" s="22" t="str">
        <f>IF(K14&gt;0,IFERROR(TIKR_Cálculos!K40/K$14,""),"-")</f>
        <v>-</v>
      </c>
      <c r="L30" s="238" t="str">
        <f>IFERROR(MEDIAN(B30:K30),"")</f>
        <v/>
      </c>
      <c r="M30" s="236"/>
      <c r="N30" s="6"/>
    </row>
    <row r="31" spans="1:18" ht="25" customHeight="1" x14ac:dyDescent="0.2">
      <c r="A31" s="18" t="s">
        <v>131</v>
      </c>
      <c r="B31" s="123" t="str">
        <f>IF(B14&gt;0,IFERROR(TIKR_Cálculos!B41/B$14,""),"-")</f>
        <v>-</v>
      </c>
      <c r="C31" s="22" t="str">
        <f>IF(C14&gt;0,IFERROR(TIKR_Cálculos!C41/C$14,""),"-")</f>
        <v>-</v>
      </c>
      <c r="D31" s="22" t="str">
        <f>IF(D14&gt;0,IFERROR(TIKR_Cálculos!D41/D$14,""),"-")</f>
        <v>-</v>
      </c>
      <c r="E31" s="22" t="str">
        <f>IF(E14&gt;0,IFERROR(TIKR_Cálculos!E41/E$14,""),"-")</f>
        <v>-</v>
      </c>
      <c r="F31" s="22" t="str">
        <f>IF(F14&gt;0,IFERROR(TIKR_Cálculos!F41/F$14,""),"-")</f>
        <v>-</v>
      </c>
      <c r="G31" s="22" t="str">
        <f>IF(G14&gt;0,IFERROR(TIKR_Cálculos!G41/G$14,""),"-")</f>
        <v>-</v>
      </c>
      <c r="H31" s="22" t="str">
        <f>IF(H14&gt;0,IFERROR(TIKR_Cálculos!H41/H$14,""),"-")</f>
        <v>-</v>
      </c>
      <c r="I31" s="22" t="str">
        <f>IF(I14&gt;0,IFERROR(TIKR_Cálculos!I41/I$14,""),"-")</f>
        <v>-</v>
      </c>
      <c r="J31" s="22" t="str">
        <f>IF(J14&gt;0,IFERROR(TIKR_Cálculos!J41/J$14,""),"-")</f>
        <v>-</v>
      </c>
      <c r="K31" s="22" t="str">
        <f>IF(K14&gt;0,IFERROR(TIKR_Cálculos!K41/K$14,""),"-")</f>
        <v>-</v>
      </c>
      <c r="L31" s="238" t="str">
        <f>IFERROR(MEDIAN(B31:K31),"")</f>
        <v/>
      </c>
      <c r="M31" s="236"/>
      <c r="N31" s="6"/>
    </row>
    <row r="32" spans="1:18" ht="25" customHeight="1" x14ac:dyDescent="0.2">
      <c r="A32" s="166" t="s">
        <v>191</v>
      </c>
      <c r="B32" s="141" t="str">
        <f>IF(B14&gt;0,IFERROR(IF(TIKR_Cálculos!B43&gt;0,TIKR_Cálculos!B43,0)/B14,""),"-")</f>
        <v>-</v>
      </c>
      <c r="C32" s="138" t="str">
        <f>IF(C14&gt;0,IFERROR(IF(TIKR_Cálculos!C43&gt;0,TIKR_Cálculos!C43,0)/C14,""),"-")</f>
        <v>-</v>
      </c>
      <c r="D32" s="138" t="str">
        <f>IF(D14&gt;0,IFERROR(IF(TIKR_Cálculos!D43&gt;0,TIKR_Cálculos!D43,0)/D14,""),"-")</f>
        <v>-</v>
      </c>
      <c r="E32" s="138" t="str">
        <f>IF(E14&gt;0,IFERROR(IF(TIKR_Cálculos!E43&gt;0,TIKR_Cálculos!E43,0)/E14,""),"-")</f>
        <v>-</v>
      </c>
      <c r="F32" s="138" t="str">
        <f>IF(F14&gt;0,IFERROR(IF(TIKR_Cálculos!F43&gt;0,TIKR_Cálculos!F43,0)/F14,""),"-")</f>
        <v>-</v>
      </c>
      <c r="G32" s="138" t="str">
        <f>IF(G14&gt;0,IFERROR(IF(TIKR_Cálculos!G43&gt;0,TIKR_Cálculos!G43,0)/G14,""),"-")</f>
        <v>-</v>
      </c>
      <c r="H32" s="138" t="str">
        <f>IF(H14&gt;0,IFERROR(IF(TIKR_Cálculos!H43&gt;0,TIKR_Cálculos!H43,0)/H14,""),"-")</f>
        <v>-</v>
      </c>
      <c r="I32" s="138" t="str">
        <f>IF(I14&gt;0,IFERROR(IF(TIKR_Cálculos!I43&gt;0,TIKR_Cálculos!I43,0)/I14,""),"-")</f>
        <v>-</v>
      </c>
      <c r="J32" s="138" t="str">
        <f>IF(J14&gt;0,IFERROR(IF(TIKR_Cálculos!J43&gt;0,TIKR_Cálculos!J43,0)/J14,""),"-")</f>
        <v>-</v>
      </c>
      <c r="K32" s="138" t="str">
        <f>IF(K14&gt;0,IFERROR(IF(TIKR_Cálculos!K43&gt;0,TIKR_Cálculos!K43,0)/K14,""),"-")</f>
        <v>-</v>
      </c>
      <c r="L32" s="133" t="str">
        <f>IFERROR(MEDIAN(B32:K32),"")</f>
        <v/>
      </c>
      <c r="M32" s="236"/>
      <c r="N32" s="4"/>
    </row>
    <row r="33" spans="1:17" ht="25" customHeight="1" x14ac:dyDescent="0.2">
      <c r="A33" s="165" t="s">
        <v>134</v>
      </c>
      <c r="B33" s="100">
        <f t="shared" ref="B33:K33" si="14">SUM(B28:B32)</f>
        <v>0</v>
      </c>
      <c r="C33" s="100">
        <f t="shared" si="14"/>
        <v>0</v>
      </c>
      <c r="D33" s="100">
        <f t="shared" si="14"/>
        <v>0</v>
      </c>
      <c r="E33" s="100">
        <f t="shared" si="14"/>
        <v>0</v>
      </c>
      <c r="F33" s="100">
        <f t="shared" si="14"/>
        <v>0</v>
      </c>
      <c r="G33" s="100">
        <f t="shared" si="14"/>
        <v>0</v>
      </c>
      <c r="H33" s="100">
        <f t="shared" si="14"/>
        <v>0</v>
      </c>
      <c r="I33" s="100">
        <f t="shared" si="14"/>
        <v>0</v>
      </c>
      <c r="J33" s="100">
        <f t="shared" si="14"/>
        <v>0</v>
      </c>
      <c r="K33" s="100">
        <f t="shared" si="14"/>
        <v>0</v>
      </c>
      <c r="L33" s="100">
        <f>SUM(L28:L32)</f>
        <v>0</v>
      </c>
      <c r="M33" s="201"/>
    </row>
    <row r="35" spans="1:17" ht="40" customHeight="1" x14ac:dyDescent="0.2">
      <c r="L35" s="4"/>
      <c r="M35" s="4"/>
      <c r="N35" s="10"/>
      <c r="O35" s="10"/>
      <c r="P35" s="10"/>
      <c r="Q35" s="100"/>
    </row>
    <row r="36" spans="1:17" ht="25" customHeight="1" x14ac:dyDescent="0.2">
      <c r="L36" s="4"/>
      <c r="M36" s="4"/>
      <c r="N36" s="10"/>
      <c r="O36" s="10"/>
      <c r="P36" s="10"/>
      <c r="Q36" s="100"/>
    </row>
    <row r="37" spans="1:17" ht="25" customHeight="1" x14ac:dyDescent="0.2">
      <c r="L37" s="4"/>
      <c r="M37" s="4"/>
      <c r="N37" s="6"/>
      <c r="O37" s="10"/>
      <c r="P37" s="10"/>
      <c r="Q37" s="100"/>
    </row>
    <row r="38" spans="1:17" ht="25" customHeight="1" x14ac:dyDescent="0.2">
      <c r="L38" s="4"/>
      <c r="M38" s="4"/>
      <c r="N38" s="6"/>
      <c r="O38" s="10"/>
      <c r="P38" s="10"/>
      <c r="Q38" s="100"/>
    </row>
    <row r="39" spans="1:17" ht="25" customHeight="1" x14ac:dyDescent="0.2">
      <c r="L39" s="4"/>
      <c r="M39" s="4"/>
      <c r="N39" s="6"/>
    </row>
    <row r="40" spans="1:17" ht="25" customHeight="1" x14ac:dyDescent="0.2">
      <c r="L40" s="100"/>
      <c r="M40" s="100"/>
    </row>
    <row r="41" spans="1:17" ht="40" customHeight="1" x14ac:dyDescent="0.2">
      <c r="L41" s="4"/>
      <c r="M41" s="4"/>
      <c r="N41" s="10"/>
      <c r="O41" s="10"/>
      <c r="P41" s="10"/>
      <c r="Q41" s="100"/>
    </row>
    <row r="42" spans="1:17" ht="25" customHeight="1" x14ac:dyDescent="0.2">
      <c r="L42" s="201"/>
      <c r="M42" s="100"/>
      <c r="N42" s="6"/>
    </row>
    <row r="43" spans="1:17" ht="25" customHeight="1" x14ac:dyDescent="0.2">
      <c r="L43" s="201"/>
      <c r="M43" s="100"/>
      <c r="N43" s="6"/>
    </row>
    <row r="44" spans="1:17" ht="25" customHeight="1" x14ac:dyDescent="0.2"/>
    <row r="45" spans="1:17" ht="25" customHeight="1" x14ac:dyDescent="0.2"/>
    <row r="46" spans="1:17" ht="25" customHeight="1" x14ac:dyDescent="0.2"/>
    <row r="47" spans="1:17" ht="25" customHeight="1" x14ac:dyDescent="0.2"/>
    <row r="48" spans="1:17" ht="25" customHeight="1" x14ac:dyDescent="0.2"/>
    <row r="49" spans="12:13" ht="25" customHeight="1" x14ac:dyDescent="0.2"/>
    <row r="50" spans="12:13" ht="25" customHeight="1" x14ac:dyDescent="0.2"/>
    <row r="51" spans="12:13" ht="25" customHeight="1" x14ac:dyDescent="0.2"/>
    <row r="52" spans="12:13" ht="25" customHeight="1" x14ac:dyDescent="0.2"/>
    <row r="53" spans="12:13" ht="25" customHeight="1" x14ac:dyDescent="0.2"/>
    <row r="54" spans="12:13" ht="25" customHeight="1" x14ac:dyDescent="0.2"/>
    <row r="55" spans="12:13" ht="25" customHeight="1" x14ac:dyDescent="0.2"/>
    <row r="56" spans="12:13" ht="25" customHeight="1" x14ac:dyDescent="0.2"/>
    <row r="57" spans="12:13" ht="25" customHeight="1" x14ac:dyDescent="0.2"/>
    <row r="58" spans="12:13" ht="25" customHeight="1" x14ac:dyDescent="0.2"/>
    <row r="59" spans="12:13" ht="25" customHeight="1" x14ac:dyDescent="0.2"/>
    <row r="60" spans="12:13" ht="25" customHeight="1" x14ac:dyDescent="0.2"/>
    <row r="63" spans="12:13" ht="17" x14ac:dyDescent="0.2">
      <c r="L63" s="68"/>
      <c r="M63" s="68"/>
    </row>
    <row r="64" spans="12:13" ht="17" x14ac:dyDescent="0.2">
      <c r="L64" s="201"/>
      <c r="M64" s="201"/>
    </row>
    <row r="65" spans="12:13" ht="17" x14ac:dyDescent="0.2">
      <c r="L65" s="201"/>
      <c r="M65" s="201"/>
    </row>
    <row r="66" spans="12:13" ht="17" x14ac:dyDescent="0.2">
      <c r="L66" s="201"/>
      <c r="M66" s="201"/>
    </row>
    <row r="67" spans="12:13" ht="17" x14ac:dyDescent="0.2">
      <c r="L67" s="201"/>
      <c r="M67" s="201"/>
    </row>
    <row r="68" spans="12:13" ht="17" x14ac:dyDescent="0.2">
      <c r="L68" s="201"/>
      <c r="M68" s="201"/>
    </row>
  </sheetData>
  <mergeCells count="2">
    <mergeCell ref="O1:P1"/>
    <mergeCell ref="Q17:R19"/>
  </mergeCells>
  <conditionalFormatting sqref="B28:K32">
    <cfRule type="cellIs" dxfId="9" priority="1" operator="greaterThan">
      <formula>1</formula>
    </cfRule>
  </conditionalFormatting>
  <conditionalFormatting sqref="B16:P16 B18:P18">
    <cfRule type="cellIs" dxfId="8" priority="2" operator="lessThan">
      <formula>0</formula>
    </cfRule>
  </conditionalFormatting>
  <pageMargins left="0.7" right="0.7" top="0.75" bottom="0.75" header="0.3" footer="0.3"/>
  <pageSetup paperSize="9" orientation="portrait" horizontalDpi="1200" verticalDpi="120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V1048576"/>
  <sheetViews>
    <sheetView showGridLines="0" zoomScaleNormal="100" workbookViewId="0">
      <pane xSplit="1" ySplit="2" topLeftCell="B3" activePane="bottomRight" state="frozen"/>
      <selection pane="topRight" activeCell="B1" sqref="B1"/>
      <selection pane="bottomLeft" activeCell="A3" sqref="A3"/>
      <selection pane="bottomRight"/>
    </sheetView>
  </sheetViews>
  <sheetFormatPr baseColWidth="10" defaultColWidth="0" defaultRowHeight="16" x14ac:dyDescent="0.2"/>
  <cols>
    <col min="1" max="1" width="51.6640625" style="20" bestFit="1" customWidth="1"/>
    <col min="2" max="16" width="12.33203125" style="5" customWidth="1"/>
    <col min="17" max="18" width="14.6640625" style="5" customWidth="1"/>
    <col min="19" max="19" width="24.6640625" style="5" hidden="1" customWidth="1"/>
    <col min="20" max="20" width="15.5" style="5" hidden="1" customWidth="1"/>
    <col min="21" max="21" width="14.6640625" style="5" hidden="1" customWidth="1"/>
    <col min="22" max="22" width="16.5" style="5" hidden="1" customWidth="1"/>
    <col min="23" max="16384" width="9.1640625" style="4" hidden="1"/>
  </cols>
  <sheetData>
    <row r="1" spans="1:22" ht="50" customHeight="1" x14ac:dyDescent="0.2">
      <c r="A1" s="235" t="str">
        <f>IF('1.IS'!A1&lt;&gt;"",'1.IS'!A1,"")</f>
        <v/>
      </c>
      <c r="B1" s="17" t="s">
        <v>86</v>
      </c>
      <c r="O1" s="300" t="e" vm="1">
        <v>#VALUE!</v>
      </c>
      <c r="P1" s="300"/>
      <c r="V1" s="21"/>
    </row>
    <row r="2" spans="1:22" s="6" customFormat="1" ht="35" customHeight="1" x14ac:dyDescent="0.2">
      <c r="A2" s="102" t="s">
        <v>95</v>
      </c>
      <c r="B2" s="55" t="str">
        <f>'1.IS'!B$2</f>
        <v/>
      </c>
      <c r="C2" s="55" t="str">
        <f>'1.IS'!C$2</f>
        <v/>
      </c>
      <c r="D2" s="55" t="str">
        <f>'1.IS'!D$2</f>
        <v/>
      </c>
      <c r="E2" s="55" t="str">
        <f>'1.IS'!E$2</f>
        <v/>
      </c>
      <c r="F2" s="55" t="str">
        <f>'1.IS'!F$2</f>
        <v/>
      </c>
      <c r="G2" s="55" t="str">
        <f>'1.IS'!G$2</f>
        <v/>
      </c>
      <c r="H2" s="55" t="str">
        <f>'1.IS'!H$2</f>
        <v/>
      </c>
      <c r="I2" s="55" t="str">
        <f>'1.IS'!I$2</f>
        <v/>
      </c>
      <c r="J2" s="55" t="str">
        <f>'1.IS'!J$2</f>
        <v/>
      </c>
      <c r="K2" s="55" t="str">
        <f>'1.IS'!K$2</f>
        <v/>
      </c>
      <c r="L2" s="8" t="str">
        <f>'1.IS'!L$2</f>
        <v/>
      </c>
      <c r="M2" s="8" t="str">
        <f>'1.IS'!M$2</f>
        <v/>
      </c>
      <c r="N2" s="8" t="str">
        <f>'1.IS'!N$2</f>
        <v/>
      </c>
      <c r="O2" s="8" t="str">
        <f>'1.IS'!O$2</f>
        <v/>
      </c>
      <c r="P2" s="8" t="str">
        <f>'1.IS'!P$2</f>
        <v/>
      </c>
      <c r="Q2" s="16"/>
      <c r="R2" s="16"/>
    </row>
    <row r="3" spans="1:22" s="6" customFormat="1" ht="25" customHeight="1" x14ac:dyDescent="0.2">
      <c r="A3" s="60" t="s">
        <v>14</v>
      </c>
      <c r="B3" s="121" t="str">
        <f>IFERROR('1.IS'!B9*(1-'1.IS'!B17),"")</f>
        <v/>
      </c>
      <c r="C3" s="87" t="str">
        <f>IFERROR('1.IS'!C9*(1-'1.IS'!C17),"")</f>
        <v/>
      </c>
      <c r="D3" s="87" t="str">
        <f>IFERROR('1.IS'!D9*(1-'1.IS'!D17),"")</f>
        <v/>
      </c>
      <c r="E3" s="87" t="str">
        <f>IFERROR('1.IS'!E9*(1-'1.IS'!E17),"")</f>
        <v/>
      </c>
      <c r="F3" s="87" t="str">
        <f>IFERROR('1.IS'!F9*(1-'1.IS'!F17),"")</f>
        <v/>
      </c>
      <c r="G3" s="87" t="str">
        <f>IFERROR('1.IS'!G9*(1-'1.IS'!G17),"")</f>
        <v/>
      </c>
      <c r="H3" s="87" t="str">
        <f>IFERROR('1.IS'!H9*(1-'1.IS'!H17),"")</f>
        <v/>
      </c>
      <c r="I3" s="87" t="str">
        <f>IFERROR('1.IS'!I9*(1-'1.IS'!I17),"")</f>
        <v/>
      </c>
      <c r="J3" s="87" t="str">
        <f>IFERROR('1.IS'!J9*(1-'1.IS'!J17),"")</f>
        <v/>
      </c>
      <c r="K3" s="87" t="str">
        <f>IFERROR('1.IS'!K9*(1-'1.IS'!K17),"")</f>
        <v/>
      </c>
      <c r="L3" s="109" t="str">
        <f>IFERROR('1.IS'!L9*(1-'1.IS'!L17),"")</f>
        <v/>
      </c>
      <c r="M3" s="85" t="str">
        <f>IFERROR('1.IS'!M9*(1-'1.IS'!M17),"")</f>
        <v/>
      </c>
      <c r="N3" s="85" t="str">
        <f>IFERROR('1.IS'!N9*(1-'1.IS'!N17),"")</f>
        <v/>
      </c>
      <c r="O3" s="85" t="str">
        <f>IFERROR('1.IS'!O9*(1-'1.IS'!O17),"")</f>
        <v/>
      </c>
      <c r="P3" s="117" t="str">
        <f>IFERROR('1.IS'!P9*(1-'1.IS'!P17),"")</f>
        <v/>
      </c>
      <c r="Q3" s="85"/>
      <c r="R3" s="85"/>
      <c r="V3" s="11"/>
    </row>
    <row r="4" spans="1:22" s="6" customFormat="1" ht="25" customHeight="1" x14ac:dyDescent="0.2">
      <c r="A4" s="103" t="s">
        <v>113</v>
      </c>
      <c r="B4" s="107" t="str">
        <f>IFERROR(VLOOKUP("Cash And Equivalents*",'8.TIKR_BS'!$A:$K,COLUMN(B4),FALSE),"0")</f>
        <v>0</v>
      </c>
      <c r="C4" s="84" t="str">
        <f>IFERROR(VLOOKUP("Cash And Equivalents*",'8.TIKR_BS'!$A:$K,COLUMN(C4),FALSE),"0")</f>
        <v>0</v>
      </c>
      <c r="D4" s="84" t="str">
        <f>IFERROR(VLOOKUP("Cash And Equivalents*",'8.TIKR_BS'!$A:$K,COLUMN(D4),FALSE),"0")</f>
        <v>0</v>
      </c>
      <c r="E4" s="84" t="str">
        <f>IFERROR(VLOOKUP("Cash And Equivalents*",'8.TIKR_BS'!$A:$K,COLUMN(E4),FALSE),"0")</f>
        <v>0</v>
      </c>
      <c r="F4" s="84" t="str">
        <f>IFERROR(VLOOKUP("Cash And Equivalents*",'8.TIKR_BS'!$A:$K,COLUMN(F4),FALSE),"0")</f>
        <v>0</v>
      </c>
      <c r="G4" s="84" t="str">
        <f>IFERROR(VLOOKUP("Cash And Equivalents*",'8.TIKR_BS'!$A:$K,COLUMN(G4),FALSE),"0")</f>
        <v>0</v>
      </c>
      <c r="H4" s="84" t="str">
        <f>IFERROR(VLOOKUP("Cash And Equivalents*",'8.TIKR_BS'!$A:$K,COLUMN(H4),FALSE),"0")</f>
        <v>0</v>
      </c>
      <c r="I4" s="84" t="str">
        <f>IFERROR(VLOOKUP("Cash And Equivalents*",'8.TIKR_BS'!$A:$K,COLUMN(I4),FALSE),"0")</f>
        <v>0</v>
      </c>
      <c r="J4" s="84" t="str">
        <f>IFERROR(VLOOKUP("Cash And Equivalents*",'8.TIKR_BS'!$A:$K,COLUMN(J4),FALSE),"0")</f>
        <v>0</v>
      </c>
      <c r="K4" s="84" t="str">
        <f>IFERROR(VLOOKUP("Cash And Equivalents*",'8.TIKR_BS'!$A:$K,COLUMN(K4),FALSE),"0")</f>
        <v>0</v>
      </c>
      <c r="L4" s="109">
        <f>IFERROR(TIKR_Cálculos!C32,0)</f>
        <v>0</v>
      </c>
      <c r="M4" s="85">
        <f>IFERROR(TIKR_Cálculos!D32,0)</f>
        <v>0</v>
      </c>
      <c r="N4" s="85">
        <f>IFERROR(TIKR_Cálculos!E32,0)</f>
        <v>0</v>
      </c>
      <c r="O4" s="85">
        <f>IFERROR(TIKR_Cálculos!F32,0)</f>
        <v>0</v>
      </c>
      <c r="P4" s="117">
        <f>IFERROR(TIKR_Cálculos!G32,0)</f>
        <v>0</v>
      </c>
      <c r="Q4" s="85"/>
      <c r="R4" s="85"/>
      <c r="V4" s="11"/>
    </row>
    <row r="5" spans="1:22" s="6" customFormat="1" ht="25" customHeight="1" x14ac:dyDescent="0.2">
      <c r="A5" s="103" t="s">
        <v>15</v>
      </c>
      <c r="B5" s="107" t="str">
        <f>IFERROR(VLOOKUP("Total Cash And Short Term Investments*",'8.TIKR_BS'!$A:$K,COLUMN(B5),FALSE)-B4,"0")</f>
        <v>0</v>
      </c>
      <c r="C5" s="84" t="str">
        <f>IFERROR(VLOOKUP("Total Cash And Short Term Investments*",'8.TIKR_BS'!$A:$K,COLUMN(C5),FALSE)-C4,"0")</f>
        <v>0</v>
      </c>
      <c r="D5" s="84" t="str">
        <f>IFERROR(VLOOKUP("Total Cash And Short Term Investments*",'8.TIKR_BS'!$A:$K,COLUMN(D5),FALSE)-D4,"0")</f>
        <v>0</v>
      </c>
      <c r="E5" s="84" t="str">
        <f>IFERROR(VLOOKUP("Total Cash And Short Term Investments*",'8.TIKR_BS'!$A:$K,COLUMN(E5),FALSE)-E4,"0")</f>
        <v>0</v>
      </c>
      <c r="F5" s="84" t="str">
        <f>IFERROR(VLOOKUP("Total Cash And Short Term Investments*",'8.TIKR_BS'!$A:$K,COLUMN(F5),FALSE)-F4,"0")</f>
        <v>0</v>
      </c>
      <c r="G5" s="84" t="str">
        <f>IFERROR(VLOOKUP("Total Cash And Short Term Investments*",'8.TIKR_BS'!$A:$K,COLUMN(G5),FALSE)-G4,"0")</f>
        <v>0</v>
      </c>
      <c r="H5" s="84" t="str">
        <f>IFERROR(VLOOKUP("Total Cash And Short Term Investments*",'8.TIKR_BS'!$A:$K,COLUMN(H5),FALSE)-H4,"0")</f>
        <v>0</v>
      </c>
      <c r="I5" s="84" t="str">
        <f>IFERROR(VLOOKUP("Total Cash And Short Term Investments*",'8.TIKR_BS'!$A:$K,COLUMN(I5),FALSE)-I4,"0")</f>
        <v>0</v>
      </c>
      <c r="J5" s="84" t="str">
        <f>IFERROR(VLOOKUP("Total Cash And Short Term Investments*",'8.TIKR_BS'!$A:$K,COLUMN(J5),FALSE)-J4,"0")</f>
        <v>0</v>
      </c>
      <c r="K5" s="84" t="str">
        <f>IFERROR(VLOOKUP("Total Cash And Short Term Investments*",'8.TIKR_BS'!$A:$K,COLUMN(K5),FALSE)-K4,"0")</f>
        <v>0</v>
      </c>
      <c r="L5" s="109">
        <f>IFERROR(TIKR_Cálculos!C33,0)</f>
        <v>0</v>
      </c>
      <c r="M5" s="85">
        <f>IFERROR(TIKR_Cálculos!D33,0)</f>
        <v>0</v>
      </c>
      <c r="N5" s="85">
        <f>IFERROR(TIKR_Cálculos!E33,0)</f>
        <v>0</v>
      </c>
      <c r="O5" s="85">
        <f>IFERROR(TIKR_Cálculos!F33,0)</f>
        <v>0</v>
      </c>
      <c r="P5" s="117">
        <f>IFERROR(TIKR_Cálculos!G33,0)</f>
        <v>0</v>
      </c>
      <c r="Q5" s="85"/>
      <c r="R5" s="85"/>
      <c r="V5" s="11"/>
    </row>
    <row r="6" spans="1:22" s="6" customFormat="1" ht="24.75" customHeight="1" x14ac:dyDescent="0.2">
      <c r="A6" s="103" t="s">
        <v>61</v>
      </c>
      <c r="B6" s="107">
        <f>IFERROR(VLOOKUP("Short-term Borrowings*",'8.TIKR_BS'!$A:$K,COLUMN(B6),FALSE),"0")+IFERROR(VLOOKUP("Current Portion of Long-Term Debt*",'8.TIKR_BS'!$A:$K,COLUMN(B6),FALSE),"0")+IFERROR(VLOOKUP("Finance Division Debt Current*",'8.TIKR_BS'!$A:$K,COLUMN(B6),FALSE),"0")</f>
        <v>0</v>
      </c>
      <c r="C6" s="84">
        <f>IFERROR(VLOOKUP("Short-term Borrowings*",'8.TIKR_BS'!$A:$K,COLUMN(C6),FALSE),"0")+IFERROR(VLOOKUP("Current Portion of Long-Term Debt*",'8.TIKR_BS'!$A:$K,COLUMN(C6),FALSE),"0")+IFERROR(VLOOKUP("Finance Division Debt Current*",'8.TIKR_BS'!$A:$K,COLUMN(C6),FALSE),"0")</f>
        <v>0</v>
      </c>
      <c r="D6" s="84">
        <f>IFERROR(VLOOKUP("Short-term Borrowings*",'8.TIKR_BS'!$A:$K,COLUMN(D6),FALSE),"0")+IFERROR(VLOOKUP("Current Portion of Long-Term Debt*",'8.TIKR_BS'!$A:$K,COLUMN(D6),FALSE),"0")+IFERROR(VLOOKUP("Finance Division Debt Current*",'8.TIKR_BS'!$A:$K,COLUMN(D6),FALSE),"0")</f>
        <v>0</v>
      </c>
      <c r="E6" s="84">
        <f>IFERROR(VLOOKUP("Short-term Borrowings*",'8.TIKR_BS'!$A:$K,COLUMN(E6),FALSE),"0")+IFERROR(VLOOKUP("Current Portion of Long-Term Debt*",'8.TIKR_BS'!$A:$K,COLUMN(E6),FALSE),"0")+IFERROR(VLOOKUP("Finance Division Debt Current*",'8.TIKR_BS'!$A:$K,COLUMN(E6),FALSE),"0")</f>
        <v>0</v>
      </c>
      <c r="F6" s="84">
        <f>IFERROR(VLOOKUP("Short-term Borrowings*",'8.TIKR_BS'!$A:$K,COLUMN(F6),FALSE),"0")+IFERROR(VLOOKUP("Current Portion of Long-Term Debt*",'8.TIKR_BS'!$A:$K,COLUMN(F6),FALSE),"0")+IFERROR(VLOOKUP("Finance Division Debt Current*",'8.TIKR_BS'!$A:$K,COLUMN(F6),FALSE),"0")</f>
        <v>0</v>
      </c>
      <c r="G6" s="84">
        <f>IFERROR(VLOOKUP("Short-term Borrowings*",'8.TIKR_BS'!$A:$K,COLUMN(G6),FALSE),"0")+IFERROR(VLOOKUP("Current Portion of Long-Term Debt*",'8.TIKR_BS'!$A:$K,COLUMN(G6),FALSE),"0")+IFERROR(VLOOKUP("Finance Division Debt Current*",'8.TIKR_BS'!$A:$K,COLUMN(G6),FALSE),"0")</f>
        <v>0</v>
      </c>
      <c r="H6" s="84">
        <f>IFERROR(VLOOKUP("Short-term Borrowings*",'8.TIKR_BS'!$A:$K,COLUMN(H6),FALSE),"0")+IFERROR(VLOOKUP("Current Portion of Long-Term Debt*",'8.TIKR_BS'!$A:$K,COLUMN(H6),FALSE),"0")+IFERROR(VLOOKUP("Finance Division Debt Current*",'8.TIKR_BS'!$A:$K,COLUMN(H6),FALSE),"0")</f>
        <v>0</v>
      </c>
      <c r="I6" s="84">
        <f>IFERROR(VLOOKUP("Short-term Borrowings*",'8.TIKR_BS'!$A:$K,COLUMN(I6),FALSE),"0")+IFERROR(VLOOKUP("Current Portion of Long-Term Debt*",'8.TIKR_BS'!$A:$K,COLUMN(I6),FALSE),"0")+IFERROR(VLOOKUP("Finance Division Debt Current*",'8.TIKR_BS'!$A:$K,COLUMN(I6),FALSE),"0")</f>
        <v>0</v>
      </c>
      <c r="J6" s="84">
        <f>IFERROR(VLOOKUP("Short-term Borrowings*",'8.TIKR_BS'!$A:$K,COLUMN(J6),FALSE),"0")+IFERROR(VLOOKUP("Current Portion of Long-Term Debt*",'8.TIKR_BS'!$A:$K,COLUMN(J6),FALSE),"0")+IFERROR(VLOOKUP("Finance Division Debt Current*",'8.TIKR_BS'!$A:$K,COLUMN(J6),FALSE),"0")</f>
        <v>0</v>
      </c>
      <c r="K6" s="84">
        <f>IFERROR(VLOOKUP("Short-term Borrowings*",'8.TIKR_BS'!$A:$K,COLUMN(K6),FALSE),"0")+IFERROR(VLOOKUP("Current Portion of Long-Term Debt*",'8.TIKR_BS'!$A:$K,COLUMN(K6),FALSE),"0")+IFERROR(VLOOKUP("Finance Division Debt Current*",'8.TIKR_BS'!$A:$K,COLUMN(K6),FALSE),"0")</f>
        <v>0</v>
      </c>
      <c r="L6" s="109">
        <f>IFERROR(TIKR_Cálculos!C35,0)</f>
        <v>0</v>
      </c>
      <c r="M6" s="85">
        <f>IFERROR(TIKR_Cálculos!D35,0)</f>
        <v>0</v>
      </c>
      <c r="N6" s="85">
        <f>IFERROR(TIKR_Cálculos!E35,0)</f>
        <v>0</v>
      </c>
      <c r="O6" s="85">
        <f>IFERROR(TIKR_Cálculos!F35,0)</f>
        <v>0</v>
      </c>
      <c r="P6" s="117">
        <f>IFERROR(TIKR_Cálculos!G35,0)</f>
        <v>0</v>
      </c>
      <c r="Q6" s="85"/>
      <c r="R6" s="85"/>
      <c r="V6" s="11"/>
    </row>
    <row r="7" spans="1:22" s="6" customFormat="1" ht="25" customHeight="1" x14ac:dyDescent="0.2">
      <c r="A7" s="103" t="s">
        <v>62</v>
      </c>
      <c r="B7" s="107">
        <f>IFERROR(VLOOKUP("Long-term Borrowings*",'8.TIKR_BS'!$A:$K,COLUMN(B7),FALSE),"0")+IFERROR(VLOOKUP("Long-Term Debt*",'8.TIKR_BS'!$A:$K,COLUMN(B7),FALSE),"0")+IFERROR(VLOOKUP("Finance Division Debt Non Current*",'8.TIKR_BS'!$A:$K,COLUMN(B7),FALSE),"0")</f>
        <v>0</v>
      </c>
      <c r="C7" s="84">
        <f>IFERROR(VLOOKUP("Long-term Borrowings*",'8.TIKR_BS'!$A:$K,COLUMN(C7),FALSE),"0")+IFERROR(VLOOKUP("Long-Term Debt*",'8.TIKR_BS'!$A:$K,COLUMN(C7),FALSE),"0")+IFERROR(VLOOKUP("Finance Division Debt Non Current*",'8.TIKR_BS'!$A:$K,COLUMN(C7),FALSE),"0")</f>
        <v>0</v>
      </c>
      <c r="D7" s="84">
        <f>IFERROR(VLOOKUP("Long-term Borrowings*",'8.TIKR_BS'!$A:$K,COLUMN(D7),FALSE),"0")+IFERROR(VLOOKUP("Long-Term Debt*",'8.TIKR_BS'!$A:$K,COLUMN(D7),FALSE),"0")+IFERROR(VLOOKUP("Finance Division Debt Non Current*",'8.TIKR_BS'!$A:$K,COLUMN(D7),FALSE),"0")</f>
        <v>0</v>
      </c>
      <c r="E7" s="84">
        <f>IFERROR(VLOOKUP("Long-term Borrowings*",'8.TIKR_BS'!$A:$K,COLUMN(E7),FALSE),"0")+IFERROR(VLOOKUP("Long-Term Debt*",'8.TIKR_BS'!$A:$K,COLUMN(E7),FALSE),"0")+IFERROR(VLOOKUP("Finance Division Debt Non Current*",'8.TIKR_BS'!$A:$K,COLUMN(E7),FALSE),"0")</f>
        <v>0</v>
      </c>
      <c r="F7" s="84">
        <f>IFERROR(VLOOKUP("Long-term Borrowings*",'8.TIKR_BS'!$A:$K,COLUMN(F7),FALSE),"0")+IFERROR(VLOOKUP("Long-Term Debt*",'8.TIKR_BS'!$A:$K,COLUMN(F7),FALSE),"0")+IFERROR(VLOOKUP("Finance Division Debt Non Current*",'8.TIKR_BS'!$A:$K,COLUMN(F7),FALSE),"0")</f>
        <v>0</v>
      </c>
      <c r="G7" s="84">
        <f>IFERROR(VLOOKUP("Long-term Borrowings*",'8.TIKR_BS'!$A:$K,COLUMN(G7),FALSE),"0")+IFERROR(VLOOKUP("Long-Term Debt*",'8.TIKR_BS'!$A:$K,COLUMN(G7),FALSE),"0")+IFERROR(VLOOKUP("Finance Division Debt Non Current*",'8.TIKR_BS'!$A:$K,COLUMN(G7),FALSE),"0")</f>
        <v>0</v>
      </c>
      <c r="H7" s="84">
        <f>IFERROR(VLOOKUP("Long-term Borrowings*",'8.TIKR_BS'!$A:$K,COLUMN(H7),FALSE),"0")+IFERROR(VLOOKUP("Long-Term Debt*",'8.TIKR_BS'!$A:$K,COLUMN(H7),FALSE),"0")+IFERROR(VLOOKUP("Finance Division Debt Non Current*",'8.TIKR_BS'!$A:$K,COLUMN(H7),FALSE),"0")</f>
        <v>0</v>
      </c>
      <c r="I7" s="84">
        <f>IFERROR(VLOOKUP("Long-term Borrowings*",'8.TIKR_BS'!$A:$K,COLUMN(I7),FALSE),"0")+IFERROR(VLOOKUP("Long-Term Debt*",'8.TIKR_BS'!$A:$K,COLUMN(I7),FALSE),"0")+IFERROR(VLOOKUP("Finance Division Debt Non Current*",'8.TIKR_BS'!$A:$K,COLUMN(I7),FALSE),"0")</f>
        <v>0</v>
      </c>
      <c r="J7" s="84">
        <f>IFERROR(VLOOKUP("Long-term Borrowings*",'8.TIKR_BS'!$A:$K,COLUMN(J7),FALSE),"0")+IFERROR(VLOOKUP("Long-Term Debt*",'8.TIKR_BS'!$A:$K,COLUMN(J7),FALSE),"0")+IFERROR(VLOOKUP("Finance Division Debt Non Current*",'8.TIKR_BS'!$A:$K,COLUMN(J7),FALSE),"0")</f>
        <v>0</v>
      </c>
      <c r="K7" s="84">
        <f>IFERROR(VLOOKUP("Long-term Borrowings*",'8.TIKR_BS'!$A:$K,COLUMN(K7),FALSE),"0")+IFERROR(VLOOKUP("Long-Term Debt*",'8.TIKR_BS'!$A:$K,COLUMN(K7),FALSE),"0")+IFERROR(VLOOKUP("Finance Division Debt Non Current*",'8.TIKR_BS'!$A:$K,COLUMN(K7),FALSE),"0")</f>
        <v>0</v>
      </c>
      <c r="L7" s="109">
        <f>IFERROR(TIKR_Cálculos!C36,0)</f>
        <v>0</v>
      </c>
      <c r="M7" s="85">
        <f>IFERROR(TIKR_Cálculos!D36,0)</f>
        <v>0</v>
      </c>
      <c r="N7" s="85">
        <f>IFERROR(TIKR_Cálculos!E36,0)</f>
        <v>0</v>
      </c>
      <c r="O7" s="85">
        <f>IFERROR(TIKR_Cálculos!F36,0)</f>
        <v>0</v>
      </c>
      <c r="P7" s="117">
        <f>IFERROR(TIKR_Cálculos!G36,0)</f>
        <v>0</v>
      </c>
      <c r="Q7" s="85"/>
      <c r="R7" s="85"/>
      <c r="S7" s="85"/>
      <c r="T7" s="85"/>
      <c r="U7" s="85"/>
      <c r="V7" s="11"/>
    </row>
    <row r="8" spans="1:22" s="6" customFormat="1" ht="25" customHeight="1" x14ac:dyDescent="0.2">
      <c r="A8" s="103" t="s">
        <v>122</v>
      </c>
      <c r="B8" s="107" t="str">
        <f>IFERROR(VLOOKUP("Current Portion of Capital Lease Obligations*",'8.TIKR_BS'!$A:$K,COLUMN(B8),FALSE),"0")</f>
        <v>0</v>
      </c>
      <c r="C8" s="84" t="str">
        <f>IFERROR(VLOOKUP("Current Portion of Capital Lease Obligations*",'8.TIKR_BS'!$A:$K,COLUMN(C8),FALSE),"0")</f>
        <v>0</v>
      </c>
      <c r="D8" s="84" t="str">
        <f>IFERROR(VLOOKUP("Current Portion of Capital Lease Obligations*",'8.TIKR_BS'!$A:$K,COLUMN(D8),FALSE),"0")</f>
        <v>0</v>
      </c>
      <c r="E8" s="84" t="str">
        <f>IFERROR(VLOOKUP("Current Portion of Capital Lease Obligations*",'8.TIKR_BS'!$A:$K,COLUMN(E8),FALSE),"0")</f>
        <v>0</v>
      </c>
      <c r="F8" s="84" t="str">
        <f>IFERROR(VLOOKUP("Current Portion of Capital Lease Obligations*",'8.TIKR_BS'!$A:$K,COLUMN(F8),FALSE),"0")</f>
        <v>0</v>
      </c>
      <c r="G8" s="84" t="str">
        <f>IFERROR(VLOOKUP("Current Portion of Capital Lease Obligations*",'8.TIKR_BS'!$A:$K,COLUMN(G8),FALSE),"0")</f>
        <v>0</v>
      </c>
      <c r="H8" s="84" t="str">
        <f>IFERROR(VLOOKUP("Current Portion of Capital Lease Obligations*",'8.TIKR_BS'!$A:$K,COLUMN(H8),FALSE),"0")</f>
        <v>0</v>
      </c>
      <c r="I8" s="84" t="str">
        <f>IFERROR(VLOOKUP("Current Portion of Capital Lease Obligations*",'8.TIKR_BS'!$A:$K,COLUMN(I8),FALSE),"0")</f>
        <v>0</v>
      </c>
      <c r="J8" s="84" t="str">
        <f>IFERROR(VLOOKUP("Current Portion of Capital Lease Obligations*",'8.TIKR_BS'!$A:$K,COLUMN(J8),FALSE),"0")</f>
        <v>0</v>
      </c>
      <c r="K8" s="84" t="str">
        <f>IFERROR(VLOOKUP("Current Portion of Capital Lease Obligations*",'8.TIKR_BS'!$A:$K,COLUMN(K8),FALSE),"0")</f>
        <v>0</v>
      </c>
      <c r="L8" s="109" t="str">
        <f>IFERROR(K8*'1.IS'!L4+K8,"")</f>
        <v/>
      </c>
      <c r="M8" s="85" t="str">
        <f>IFERROR(L8*'1.IS'!M4+L8,"")</f>
        <v/>
      </c>
      <c r="N8" s="85" t="str">
        <f>IFERROR(M8*'1.IS'!N4+M8,"")</f>
        <v/>
      </c>
      <c r="O8" s="85" t="str">
        <f>IFERROR(N8*'1.IS'!O4+N8,"")</f>
        <v/>
      </c>
      <c r="P8" s="117" t="str">
        <f>IFERROR(O8*'1.IS'!P4+O8,"")</f>
        <v/>
      </c>
      <c r="Q8" s="85"/>
      <c r="R8" s="85"/>
      <c r="S8" s="85"/>
      <c r="T8" s="85"/>
      <c r="U8" s="85"/>
      <c r="V8" s="11"/>
    </row>
    <row r="9" spans="1:22" s="6" customFormat="1" ht="25" customHeight="1" x14ac:dyDescent="0.2">
      <c r="A9" s="103" t="s">
        <v>123</v>
      </c>
      <c r="B9" s="107" t="str">
        <f>IFERROR(VLOOKUP("Capital Leases*",'8.TIKR_BS'!$A:$K,COLUMN(B9),FALSE),"0")</f>
        <v>0</v>
      </c>
      <c r="C9" s="84" t="str">
        <f>IFERROR(VLOOKUP("Capital Leases*",'8.TIKR_BS'!$A:$K,COLUMN(C9),FALSE),"0")</f>
        <v>0</v>
      </c>
      <c r="D9" s="84" t="str">
        <f>IFERROR(VLOOKUP("Capital Leases*",'8.TIKR_BS'!$A:$K,COLUMN(D9),FALSE),"0")</f>
        <v>0</v>
      </c>
      <c r="E9" s="84" t="str">
        <f>IFERROR(VLOOKUP("Capital Leases*",'8.TIKR_BS'!$A:$K,COLUMN(E9),FALSE),"0")</f>
        <v>0</v>
      </c>
      <c r="F9" s="84" t="str">
        <f>IFERROR(VLOOKUP("Capital Leases*",'8.TIKR_BS'!$A:$K,COLUMN(F9),FALSE),"0")</f>
        <v>0</v>
      </c>
      <c r="G9" s="84" t="str">
        <f>IFERROR(VLOOKUP("Capital Leases*",'8.TIKR_BS'!$A:$K,COLUMN(G9),FALSE),"0")</f>
        <v>0</v>
      </c>
      <c r="H9" s="84" t="str">
        <f>IFERROR(VLOOKUP("Capital Leases*",'8.TIKR_BS'!$A:$K,COLUMN(H9),FALSE),"0")</f>
        <v>0</v>
      </c>
      <c r="I9" s="84" t="str">
        <f>IFERROR(VLOOKUP("Capital Leases*",'8.TIKR_BS'!$A:$K,COLUMN(I9),FALSE),"0")</f>
        <v>0</v>
      </c>
      <c r="J9" s="84" t="str">
        <f>IFERROR(VLOOKUP("Capital Leases*",'8.TIKR_BS'!$A:$K,COLUMN(J9),FALSE),"0")</f>
        <v>0</v>
      </c>
      <c r="K9" s="84" t="str">
        <f>IFERROR(VLOOKUP("Capital Leases*",'8.TIKR_BS'!$A:$K,COLUMN(K9),FALSE),"0")</f>
        <v>0</v>
      </c>
      <c r="L9" s="109" t="str">
        <f>IFERROR(K9*'1.IS'!L4+K9,"")</f>
        <v/>
      </c>
      <c r="M9" s="85" t="str">
        <f>IFERROR(L9*'1.IS'!M4+L9,"")</f>
        <v/>
      </c>
      <c r="N9" s="85" t="str">
        <f>IFERROR(M9*'1.IS'!N4+M9,"")</f>
        <v/>
      </c>
      <c r="O9" s="85" t="str">
        <f>IFERROR(N9*'1.IS'!O4+N9,"")</f>
        <v/>
      </c>
      <c r="P9" s="117" t="str">
        <f>IFERROR(O9*'1.IS'!P4+O9,"")</f>
        <v/>
      </c>
      <c r="Q9" s="85"/>
      <c r="R9" s="85"/>
      <c r="S9" s="85"/>
      <c r="T9" s="85"/>
      <c r="U9" s="85"/>
      <c r="V9" s="11"/>
    </row>
    <row r="10" spans="1:22" s="6" customFormat="1" ht="25" customHeight="1" x14ac:dyDescent="0.2">
      <c r="A10" s="103" t="s">
        <v>12</v>
      </c>
      <c r="B10" s="107" t="str">
        <f>IFERROR(VLOOKUP("Total Equity*",'8.TIKR_BS'!$A:$K,COLUMN(B10),FALSE),"0")</f>
        <v>0</v>
      </c>
      <c r="C10" s="84" t="str">
        <f>IFERROR(VLOOKUP("Total Equity*",'8.TIKR_BS'!$A:$K,COLUMN(C10),FALSE),"0")</f>
        <v>0</v>
      </c>
      <c r="D10" s="84" t="str">
        <f>IFERROR(VLOOKUP("Total Equity*",'8.TIKR_BS'!$A:$K,COLUMN(D10),FALSE),"0")</f>
        <v>0</v>
      </c>
      <c r="E10" s="84" t="str">
        <f>IFERROR(VLOOKUP("Total Equity*",'8.TIKR_BS'!$A:$K,COLUMN(E10),FALSE),"0")</f>
        <v>0</v>
      </c>
      <c r="F10" s="84" t="str">
        <f>IFERROR(VLOOKUP("Total Equity*",'8.TIKR_BS'!$A:$K,COLUMN(F10),FALSE),"0")</f>
        <v>0</v>
      </c>
      <c r="G10" s="84" t="str">
        <f>IFERROR(VLOOKUP("Total Equity*",'8.TIKR_BS'!$A:$K,COLUMN(G10),FALSE),"0")</f>
        <v>0</v>
      </c>
      <c r="H10" s="84" t="str">
        <f>IFERROR(VLOOKUP("Total Equity*",'8.TIKR_BS'!$A:$K,COLUMN(H10),FALSE),"0")</f>
        <v>0</v>
      </c>
      <c r="I10" s="84" t="str">
        <f>IFERROR(VLOOKUP("Total Equity*",'8.TIKR_BS'!$A:$K,COLUMN(I10),FALSE),"0")</f>
        <v>0</v>
      </c>
      <c r="J10" s="84" t="str">
        <f>IFERROR(VLOOKUP("Total Equity*",'8.TIKR_BS'!$A:$K,COLUMN(J10),FALSE),"0")</f>
        <v>0</v>
      </c>
      <c r="K10" s="84" t="str">
        <f>IFERROR(VLOOKUP("Total Equity*",'8.TIKR_BS'!$A:$K,COLUMN(K10),FALSE),"0")</f>
        <v>0</v>
      </c>
      <c r="L10" s="109" t="str">
        <f>IFERROR(K10+'1.IS'!L20+'1.IS'!L26*'4.Valoracion'!L3-AVERAGE('2.FCF'!$J$30:$K$30)*'2.FCF'!L14,"")</f>
        <v/>
      </c>
      <c r="M10" s="85" t="str">
        <f>IFERROR(L10+'1.IS'!M20+'1.IS'!M26*'4.Valoracion'!M3-AVERAGE('2.FCF'!$J$30:$K$30)*'2.FCF'!M14,"")</f>
        <v/>
      </c>
      <c r="N10" s="85" t="str">
        <f>IFERROR(M10+'1.IS'!N20+'1.IS'!N26*'4.Valoracion'!N3-AVERAGE('2.FCF'!$J$30:$K$30)*'2.FCF'!N14,"")</f>
        <v/>
      </c>
      <c r="O10" s="85" t="str">
        <f>IFERROR(N10+'1.IS'!O20+'1.IS'!O26*'4.Valoracion'!O3-AVERAGE('2.FCF'!$J$30:$K$30)*'2.FCF'!O14,"")</f>
        <v/>
      </c>
      <c r="P10" s="117" t="str">
        <f>IFERROR(O10+'1.IS'!P20+'1.IS'!P26*'4.Valoracion'!P3-AVERAGE('2.FCF'!$J$30:$K$30)*'2.FCF'!P14,"")</f>
        <v/>
      </c>
      <c r="Q10" s="85"/>
      <c r="R10" s="85"/>
      <c r="S10" s="85"/>
      <c r="T10" s="85"/>
      <c r="U10" s="85"/>
      <c r="V10" s="11"/>
    </row>
    <row r="11" spans="1:22" s="6" customFormat="1" ht="25" customHeight="1" x14ac:dyDescent="0.2">
      <c r="A11" s="134" t="s">
        <v>101</v>
      </c>
      <c r="B11" s="140">
        <f t="shared" ref="B11" si="0">B10+B6+B7+B8+B9-B5</f>
        <v>0</v>
      </c>
      <c r="C11" s="135">
        <f t="shared" ref="C11:K11" si="1">C10+C6+C7+C8+C9-C5</f>
        <v>0</v>
      </c>
      <c r="D11" s="135">
        <f t="shared" si="1"/>
        <v>0</v>
      </c>
      <c r="E11" s="135">
        <f t="shared" si="1"/>
        <v>0</v>
      </c>
      <c r="F11" s="135">
        <f t="shared" si="1"/>
        <v>0</v>
      </c>
      <c r="G11" s="135">
        <f t="shared" si="1"/>
        <v>0</v>
      </c>
      <c r="H11" s="135">
        <f t="shared" si="1"/>
        <v>0</v>
      </c>
      <c r="I11" s="135">
        <f t="shared" si="1"/>
        <v>0</v>
      </c>
      <c r="J11" s="135">
        <f t="shared" si="1"/>
        <v>0</v>
      </c>
      <c r="K11" s="135">
        <f t="shared" si="1"/>
        <v>0</v>
      </c>
      <c r="L11" s="139" t="str">
        <f>IFERROR(L10+L6+L7+L8+L9-L5,"")</f>
        <v/>
      </c>
      <c r="M11" s="136" t="str">
        <f>IFERROR(M10+M6+M7+M8+M9-M5,"")</f>
        <v/>
      </c>
      <c r="N11" s="136" t="str">
        <f>IFERROR(N10+N6+N7+N8+N9-N5,"")</f>
        <v/>
      </c>
      <c r="O11" s="136" t="str">
        <f>IFERROR(O10+O6+O7+O8+O9-O5,"")</f>
        <v/>
      </c>
      <c r="P11" s="137" t="str">
        <f>IFERROR(P10+P6+P7+P8+P9-P5,"")</f>
        <v/>
      </c>
      <c r="Q11" s="85"/>
      <c r="R11" s="85"/>
      <c r="S11" s="85"/>
      <c r="T11" s="85"/>
      <c r="U11" s="85"/>
      <c r="V11" s="11"/>
    </row>
    <row r="12" spans="1:22" ht="30" customHeight="1" x14ac:dyDescent="0.2">
      <c r="A12" s="4"/>
      <c r="V12" s="21"/>
    </row>
    <row r="13" spans="1:22" s="143" customFormat="1" ht="35" customHeight="1" x14ac:dyDescent="0.2">
      <c r="A13" s="57" t="s">
        <v>71</v>
      </c>
      <c r="B13" s="58" t="str">
        <f>'1.IS'!B$2</f>
        <v/>
      </c>
      <c r="C13" s="58" t="str">
        <f>'1.IS'!C$2</f>
        <v/>
      </c>
      <c r="D13" s="58" t="str">
        <f>'1.IS'!D$2</f>
        <v/>
      </c>
      <c r="E13" s="58" t="str">
        <f>'1.IS'!E$2</f>
        <v/>
      </c>
      <c r="F13" s="58" t="str">
        <f>'1.IS'!F$2</f>
        <v/>
      </c>
      <c r="G13" s="58" t="str">
        <f>'1.IS'!G$2</f>
        <v/>
      </c>
      <c r="H13" s="58" t="str">
        <f>'1.IS'!H$2</f>
        <v/>
      </c>
      <c r="I13" s="58" t="str">
        <f>'1.IS'!I$2</f>
        <v/>
      </c>
      <c r="J13" s="58" t="str">
        <f>'1.IS'!J$2</f>
        <v/>
      </c>
      <c r="K13" s="58" t="str">
        <f>'1.IS'!K$2</f>
        <v/>
      </c>
      <c r="L13" s="59" t="str">
        <f>'1.IS'!L$2</f>
        <v/>
      </c>
      <c r="M13" s="59" t="str">
        <f>'1.IS'!M$2</f>
        <v/>
      </c>
      <c r="N13" s="59" t="str">
        <f>'1.IS'!N$2</f>
        <v/>
      </c>
      <c r="O13" s="59" t="str">
        <f>'1.IS'!O$2</f>
        <v/>
      </c>
      <c r="P13" s="59" t="str">
        <f>'1.IS'!P$2</f>
        <v/>
      </c>
      <c r="Q13" s="62" t="str" cm="1">
        <f t="array" ref="Q13">IFERROR("Mediana "&amp;CHAR(10)&amp;INDEX(B2:K2,MATCH(TRUE,VALUE(B2:K2)&gt;0,))&amp;" - "&amp;K$2,"")</f>
        <v/>
      </c>
    </row>
    <row r="14" spans="1:22" s="12" customFormat="1" ht="25" customHeight="1" x14ac:dyDescent="0.2">
      <c r="A14" s="177" t="s">
        <v>44</v>
      </c>
      <c r="B14" s="123" t="str">
        <f>IFERROR('1.IS'!B20/B10,"")</f>
        <v/>
      </c>
      <c r="C14" s="22" t="str">
        <f>IFERROR('1.IS'!C20/C10,"")</f>
        <v/>
      </c>
      <c r="D14" s="22" t="str">
        <f>IFERROR('1.IS'!D20/D10,"")</f>
        <v/>
      </c>
      <c r="E14" s="22" t="str">
        <f>IFERROR('1.IS'!E20/E10,"")</f>
        <v/>
      </c>
      <c r="F14" s="22" t="str">
        <f>IFERROR('1.IS'!F20/F10,"")</f>
        <v/>
      </c>
      <c r="G14" s="22" t="str">
        <f>IFERROR('1.IS'!G20/G10,"")</f>
        <v/>
      </c>
      <c r="H14" s="61" t="str">
        <f>IFERROR('1.IS'!H20/H10,"")</f>
        <v/>
      </c>
      <c r="I14" s="61" t="str">
        <f>IFERROR('1.IS'!I20/I10,"")</f>
        <v/>
      </c>
      <c r="J14" s="61" t="str">
        <f>IFERROR('1.IS'!J20/J10,"")</f>
        <v/>
      </c>
      <c r="K14" s="61" t="str">
        <f>IFERROR('1.IS'!K20/K10,"")</f>
        <v/>
      </c>
      <c r="L14" s="185" t="str">
        <f>IFERROR('1.IS'!L20/L10,"")</f>
        <v/>
      </c>
      <c r="M14" s="186" t="str">
        <f>IFERROR('1.IS'!M20/M10,"")</f>
        <v/>
      </c>
      <c r="N14" s="186" t="str">
        <f>IFERROR('1.IS'!N20/N10,"")</f>
        <v/>
      </c>
      <c r="O14" s="186" t="str">
        <f>IFERROR('1.IS'!O20/O10,"")</f>
        <v/>
      </c>
      <c r="P14" s="187" t="str">
        <f>IFERROR('1.IS'!P20/P10,"")</f>
        <v/>
      </c>
      <c r="Q14" s="132" t="str">
        <f>IFERROR(MEDIAN(B14:K14),"")</f>
        <v/>
      </c>
      <c r="R14" s="158"/>
      <c r="S14" s="158"/>
      <c r="T14" s="158"/>
      <c r="U14" s="158"/>
    </row>
    <row r="15" spans="1:22" s="12" customFormat="1" ht="25" customHeight="1" x14ac:dyDescent="0.2">
      <c r="A15" s="71" t="s">
        <v>102</v>
      </c>
      <c r="B15" s="123" t="str">
        <f t="shared" ref="B15:P15" si="2">IFERROR(B3/B11,"")</f>
        <v/>
      </c>
      <c r="C15" s="22" t="str">
        <f t="shared" si="2"/>
        <v/>
      </c>
      <c r="D15" s="22" t="str">
        <f t="shared" si="2"/>
        <v/>
      </c>
      <c r="E15" s="22" t="str">
        <f t="shared" si="2"/>
        <v/>
      </c>
      <c r="F15" s="22" t="str">
        <f t="shared" si="2"/>
        <v/>
      </c>
      <c r="G15" s="22" t="str">
        <f t="shared" si="2"/>
        <v/>
      </c>
      <c r="H15" s="61" t="str">
        <f t="shared" si="2"/>
        <v/>
      </c>
      <c r="I15" s="61" t="str">
        <f t="shared" ref="I15:K15" si="3">IFERROR(I3/I11,"")</f>
        <v/>
      </c>
      <c r="J15" s="61" t="str">
        <f t="shared" si="3"/>
        <v/>
      </c>
      <c r="K15" s="61" t="str">
        <f t="shared" si="3"/>
        <v/>
      </c>
      <c r="L15" s="105" t="str">
        <f t="shared" si="2"/>
        <v/>
      </c>
      <c r="M15" s="22" t="str">
        <f t="shared" si="2"/>
        <v/>
      </c>
      <c r="N15" s="22" t="str">
        <f t="shared" si="2"/>
        <v/>
      </c>
      <c r="O15" s="22" t="str">
        <f t="shared" si="2"/>
        <v/>
      </c>
      <c r="P15" s="129" t="str">
        <f t="shared" si="2"/>
        <v/>
      </c>
      <c r="Q15" s="132" t="str">
        <f>IFERROR(MEDIAN(B15:K15),"")</f>
        <v/>
      </c>
      <c r="R15" s="158"/>
      <c r="S15" s="158"/>
      <c r="T15" s="158"/>
      <c r="U15" s="158"/>
    </row>
    <row r="16" spans="1:22" s="12" customFormat="1" ht="25" customHeight="1" x14ac:dyDescent="0.2">
      <c r="A16" s="159" t="s">
        <v>124</v>
      </c>
      <c r="B16" s="141" t="str">
        <f>IF('2.FCF'!B14&gt;0,IFERROR(TIKR_Cálculos!B12/'2.FCF'!B14,""),"")</f>
        <v/>
      </c>
      <c r="C16" s="138" t="str">
        <f>IF('2.FCF'!C14&gt;0,IFERROR(TIKR_Cálculos!C12/'2.FCF'!C14,""),"")</f>
        <v/>
      </c>
      <c r="D16" s="138" t="str">
        <f>IF('2.FCF'!D14&gt;0,IFERROR(TIKR_Cálculos!D12/'2.FCF'!D14,""),"")</f>
        <v/>
      </c>
      <c r="E16" s="138" t="str">
        <f>IF('2.FCF'!E14&gt;0,IFERROR(TIKR_Cálculos!E12/'2.FCF'!E14,""),"")</f>
        <v/>
      </c>
      <c r="F16" s="138" t="str">
        <f>IF('2.FCF'!F14&gt;0,IFERROR(TIKR_Cálculos!F12/'2.FCF'!F14,""),"")</f>
        <v/>
      </c>
      <c r="G16" s="138" t="str">
        <f>IF('2.FCF'!G14&gt;0,IFERROR(TIKR_Cálculos!G12/'2.FCF'!G14,""),"")</f>
        <v/>
      </c>
      <c r="H16" s="138" t="str">
        <f>IF('2.FCF'!H14&gt;0,IFERROR(TIKR_Cálculos!H12/'2.FCF'!H14,""),"")</f>
        <v/>
      </c>
      <c r="I16" s="138" t="str">
        <f>IF('2.FCF'!I14&gt;0,IFERROR(TIKR_Cálculos!I12/'2.FCF'!I14,""),"")</f>
        <v/>
      </c>
      <c r="J16" s="138" t="str">
        <f>IF('2.FCF'!J14&gt;0,IFERROR(TIKR_Cálculos!J12/'2.FCF'!J14,""),"")</f>
        <v/>
      </c>
      <c r="K16" s="138" t="str">
        <f>IF('2.FCF'!K14&gt;0,IFERROR(TIKR_Cálculos!K12/'2.FCF'!K14,""),"")</f>
        <v/>
      </c>
      <c r="L16" s="119" t="s">
        <v>192</v>
      </c>
      <c r="M16" s="138" t="s">
        <v>192</v>
      </c>
      <c r="N16" s="138" t="s">
        <v>192</v>
      </c>
      <c r="O16" s="138" t="s">
        <v>192</v>
      </c>
      <c r="P16" s="188" t="s">
        <v>192</v>
      </c>
      <c r="Q16" s="142" t="str">
        <f>IFERROR(MEDIAN(B16:K16),"")</f>
        <v/>
      </c>
      <c r="R16" s="158"/>
      <c r="S16" s="158"/>
      <c r="T16" s="158"/>
      <c r="U16" s="158"/>
    </row>
    <row r="17" spans="1:16" ht="37.5" customHeight="1" x14ac:dyDescent="0.2">
      <c r="A17" s="4"/>
      <c r="B17" s="161"/>
      <c r="C17" s="161"/>
      <c r="D17" s="161"/>
      <c r="E17" s="161"/>
      <c r="F17" s="162"/>
      <c r="G17" s="162"/>
      <c r="H17" s="161"/>
      <c r="I17" s="161"/>
      <c r="J17" s="161"/>
      <c r="K17" s="161"/>
    </row>
    <row r="18" spans="1:16" x14ac:dyDescent="0.2">
      <c r="K18" s="160"/>
      <c r="L18" s="160"/>
      <c r="P18" s="160"/>
    </row>
    <row r="19" spans="1:16" x14ac:dyDescent="0.2">
      <c r="L19" s="160"/>
      <c r="M19" s="160"/>
      <c r="N19" s="160"/>
      <c r="O19" s="160"/>
      <c r="P19" s="160"/>
    </row>
    <row r="1048576" hidden="1" x14ac:dyDescent="0.2"/>
  </sheetData>
  <mergeCells count="1">
    <mergeCell ref="O1:P1"/>
  </mergeCells>
  <pageMargins left="0.7" right="0.7" top="0.75" bottom="0.75" header="0.3" footer="0.3"/>
  <pageSetup paperSize="9"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XFC52"/>
  <sheetViews>
    <sheetView showGridLines="0" zoomScale="85" zoomScaleNormal="85" workbookViewId="0"/>
  </sheetViews>
  <sheetFormatPr baseColWidth="10" defaultColWidth="0" defaultRowHeight="15" zeroHeight="1" x14ac:dyDescent="0.2"/>
  <cols>
    <col min="1" max="1" width="42" style="19" bestFit="1" customWidth="1"/>
    <col min="2" max="16" width="11.33203125" style="3" customWidth="1"/>
    <col min="17" max="17" width="15.1640625" customWidth="1"/>
    <col min="18" max="18" width="24.33203125" customWidth="1"/>
    <col min="19" max="16383" width="9.1640625" hidden="1"/>
    <col min="16384" max="16384" width="4.1640625" hidden="1" customWidth="1"/>
  </cols>
  <sheetData>
    <row r="1" spans="1:18" ht="50" customHeight="1" x14ac:dyDescent="0.2">
      <c r="A1" s="235" t="str">
        <f>IF('1.IS'!A1&lt;&gt;"",'1.IS'!A1,"")</f>
        <v/>
      </c>
      <c r="B1" s="17" t="s">
        <v>77</v>
      </c>
      <c r="O1" s="300" t="e" vm="1">
        <v>#VALUE!</v>
      </c>
      <c r="P1" s="300"/>
    </row>
    <row r="2" spans="1:18" s="6" customFormat="1" ht="35" customHeight="1" x14ac:dyDescent="0.2">
      <c r="A2" s="102" t="s">
        <v>119</v>
      </c>
      <c r="B2" s="55" t="str">
        <f>'1.IS'!B$2</f>
        <v/>
      </c>
      <c r="C2" s="55" t="str">
        <f>'1.IS'!C$2</f>
        <v/>
      </c>
      <c r="D2" s="55" t="str">
        <f>'1.IS'!D$2</f>
        <v/>
      </c>
      <c r="E2" s="55" t="str">
        <f>'1.IS'!E$2</f>
        <v/>
      </c>
      <c r="F2" s="55" t="str">
        <f>'1.IS'!F$2</f>
        <v/>
      </c>
      <c r="G2" s="55" t="str">
        <f>'1.IS'!G$2</f>
        <v/>
      </c>
      <c r="H2" s="55" t="str">
        <f>'1.IS'!H$2</f>
        <v/>
      </c>
      <c r="I2" s="55" t="str">
        <f>'1.IS'!I$2</f>
        <v/>
      </c>
      <c r="J2" s="55" t="str">
        <f>'1.IS'!J$2</f>
        <v/>
      </c>
      <c r="K2" s="55" t="str">
        <f>'1.IS'!K$2</f>
        <v/>
      </c>
      <c r="L2" s="8" t="str">
        <f>'1.IS'!L$2</f>
        <v/>
      </c>
      <c r="M2" s="8" t="str">
        <f>'1.IS'!M$2</f>
        <v/>
      </c>
      <c r="N2" s="8" t="str">
        <f>'1.IS'!N$2</f>
        <v/>
      </c>
      <c r="O2" s="8" t="str">
        <f>'1.IS'!O$2</f>
        <v/>
      </c>
      <c r="P2" s="8" t="str">
        <f>'1.IS'!P$2</f>
        <v/>
      </c>
    </row>
    <row r="3" spans="1:18" s="6" customFormat="1" ht="25" customHeight="1" x14ac:dyDescent="0.2">
      <c r="A3" s="262" t="s">
        <v>10</v>
      </c>
      <c r="B3" s="189" t="str">
        <f>IFERROR(VLOOKUP("Market Cap (MM)",'10.TIKR_Val'!$A:$K,COLUMN(B4),FALSE)*('1.IS'!B25/VLOOKUP("Weighted Average Basic Shares Outstanding*",'7.TIKR_IS'!$A:$K,COLUMN(B4),FALSE)),"")</f>
        <v/>
      </c>
      <c r="C3" s="189" t="str">
        <f>IFERROR(VLOOKUP("Market Cap (MM)",'10.TIKR_Val'!$A:$K,COLUMN(C4),FALSE)*('1.IS'!C25/VLOOKUP("Weighted Average Basic Shares Outstanding*",'7.TIKR_IS'!$A:$K,COLUMN(C4),FALSE)),"")</f>
        <v/>
      </c>
      <c r="D3" s="189" t="str">
        <f>IFERROR(VLOOKUP("Market Cap (MM)",'10.TIKR_Val'!$A:$K,COLUMN(D4),FALSE)*('1.IS'!D25/VLOOKUP("Weighted Average Basic Shares Outstanding*",'7.TIKR_IS'!$A:$K,COLUMN(D4),FALSE)),"")</f>
        <v/>
      </c>
      <c r="E3" s="189" t="str">
        <f>IFERROR(VLOOKUP("Market Cap (MM)",'10.TIKR_Val'!$A:$K,COLUMN(E4),FALSE)*('1.IS'!E25/VLOOKUP("Weighted Average Basic Shares Outstanding*",'7.TIKR_IS'!$A:$K,COLUMN(E4),FALSE)),"")</f>
        <v/>
      </c>
      <c r="F3" s="189" t="str">
        <f>IFERROR(VLOOKUP("Market Cap (MM)",'10.TIKR_Val'!$A:$K,COLUMN(F4),FALSE)*('1.IS'!F25/VLOOKUP("Weighted Average Basic Shares Outstanding*",'7.TIKR_IS'!$A:$K,COLUMN(F4),FALSE)),"")</f>
        <v/>
      </c>
      <c r="G3" s="189" t="str">
        <f>IFERROR(VLOOKUP("Market Cap (MM)",'10.TIKR_Val'!$A:$K,COLUMN(G4),FALSE)*('1.IS'!G25/VLOOKUP("Weighted Average Basic Shares Outstanding*",'7.TIKR_IS'!$A:$K,COLUMN(G4),FALSE)),"")</f>
        <v/>
      </c>
      <c r="H3" s="189" t="str">
        <f>IFERROR(VLOOKUP("Market Cap (MM)",'10.TIKR_Val'!$A:$K,COLUMN(H4),FALSE)*('1.IS'!H25/VLOOKUP("Weighted Average Basic Shares Outstanding*",'7.TIKR_IS'!$A:$K,COLUMN(H4),FALSE)),"")</f>
        <v/>
      </c>
      <c r="I3" s="190" t="str">
        <f>IFERROR(VLOOKUP("Market Cap (MM)",'10.TIKR_Val'!$A:$K,COLUMN(I4),FALSE)*('1.IS'!I25/VLOOKUP("Weighted Average Basic Shares Outstanding*",'7.TIKR_IS'!$A:$K,COLUMN(I4),FALSE)),"")</f>
        <v/>
      </c>
      <c r="J3" s="190" t="str">
        <f>IFERROR(VLOOKUP("Market Cap (MM)",'10.TIKR_Val'!$A:$K,COLUMN(J4),FALSE)*('1.IS'!J25/VLOOKUP("Weighted Average Basic Shares Outstanding*",'7.TIKR_IS'!$A:$K,COLUMN(J4),FALSE)),"")</f>
        <v/>
      </c>
      <c r="K3" s="190" t="str">
        <f>IFERROR(VLOOKUP("Market Cap (MM)",'10.TIKR_Val'!$A:$K,COLUMN(K4),FALSE)*('1.IS'!K25/VLOOKUP("Weighted Average Basic Shares Outstanding*",'7.TIKR_IS'!$A:$K,COLUMN(K4),FALSE)),"")</f>
        <v/>
      </c>
      <c r="L3" s="191" t="str">
        <f>IFERROR($B$19*'1.IS'!L25,"")</f>
        <v/>
      </c>
      <c r="M3" s="192" t="str">
        <f>IFERROR($B$19*'1.IS'!M25,"")</f>
        <v/>
      </c>
      <c r="N3" s="192" t="str">
        <f>IFERROR($B$19*'1.IS'!N25,"")</f>
        <v/>
      </c>
      <c r="O3" s="192" t="str">
        <f>IFERROR($B$19*'1.IS'!O25,"")</f>
        <v/>
      </c>
      <c r="P3" s="193" t="str">
        <f>IFERROR($B$19*'1.IS'!P25,"")</f>
        <v/>
      </c>
    </row>
    <row r="4" spans="1:18" s="6" customFormat="1" ht="25" customHeight="1" thickBot="1" x14ac:dyDescent="0.25">
      <c r="A4" s="262" t="s">
        <v>125</v>
      </c>
      <c r="B4" s="87">
        <f>('3.ROIC'!B7+'3.ROIC'!B6)-('3.ROIC'!B4+'3.ROIC'!B5)</f>
        <v>0</v>
      </c>
      <c r="C4" s="87">
        <f>('3.ROIC'!C7+'3.ROIC'!C6)-('3.ROIC'!C4+'3.ROIC'!C5)</f>
        <v>0</v>
      </c>
      <c r="D4" s="87">
        <f>('3.ROIC'!D7+'3.ROIC'!D6)-('3.ROIC'!D4+'3.ROIC'!D5)</f>
        <v>0</v>
      </c>
      <c r="E4" s="87">
        <f>('3.ROIC'!E7+'3.ROIC'!E6)-('3.ROIC'!E4+'3.ROIC'!E5)</f>
        <v>0</v>
      </c>
      <c r="F4" s="87">
        <f>('3.ROIC'!F7+'3.ROIC'!F6)-('3.ROIC'!F4+'3.ROIC'!F5)</f>
        <v>0</v>
      </c>
      <c r="G4" s="87">
        <f>('3.ROIC'!G7+'3.ROIC'!G6)-('3.ROIC'!G4+'3.ROIC'!G5)</f>
        <v>0</v>
      </c>
      <c r="H4" s="87">
        <f>('3.ROIC'!H7+'3.ROIC'!H6)-('3.ROIC'!H4+'3.ROIC'!H5)</f>
        <v>0</v>
      </c>
      <c r="I4" s="87">
        <f>('3.ROIC'!I7+'3.ROIC'!I6)-('3.ROIC'!I4+'3.ROIC'!I5)</f>
        <v>0</v>
      </c>
      <c r="J4" s="87">
        <f>('3.ROIC'!J7+'3.ROIC'!J6)-('3.ROIC'!J4+'3.ROIC'!J5)</f>
        <v>0</v>
      </c>
      <c r="K4" s="85">
        <f>('3.ROIC'!K7+'3.ROIC'!K6)-('3.ROIC'!K4+'3.ROIC'!K5)</f>
        <v>0</v>
      </c>
      <c r="L4" s="109" t="str">
        <f>IFERROR(L5*'1.IS'!L5,"")</f>
        <v/>
      </c>
      <c r="M4" s="85" t="str">
        <f>IFERROR(M5*'1.IS'!M5,"")</f>
        <v/>
      </c>
      <c r="N4" s="85" t="str">
        <f>IFERROR(N5*'1.IS'!N5,"")</f>
        <v/>
      </c>
      <c r="O4" s="85" t="str">
        <f>IFERROR(O5*'1.IS'!O5,"")</f>
        <v/>
      </c>
      <c r="P4" s="117" t="str">
        <f>IFERROR(P5*'1.IS'!P5,"")</f>
        <v/>
      </c>
      <c r="R4" s="308" t="s">
        <v>154</v>
      </c>
    </row>
    <row r="5" spans="1:18" s="6" customFormat="1" ht="25" customHeight="1" thickTop="1" thickBot="1" x14ac:dyDescent="0.25">
      <c r="A5" s="263" t="s">
        <v>112</v>
      </c>
      <c r="B5" s="97" t="str">
        <f>IFERROR('4.Valoracion'!B4/'1.IS'!B5,"")</f>
        <v/>
      </c>
      <c r="C5" s="97" t="str">
        <f>IFERROR('4.Valoracion'!C4/'1.IS'!C5,"")</f>
        <v/>
      </c>
      <c r="D5" s="97" t="str">
        <f>IFERROR('4.Valoracion'!D4/'1.IS'!D5,"")</f>
        <v/>
      </c>
      <c r="E5" s="97" t="str">
        <f>IFERROR('4.Valoracion'!E4/'1.IS'!E5,"")</f>
        <v/>
      </c>
      <c r="F5" s="97" t="str">
        <f>IFERROR('4.Valoracion'!F4/'1.IS'!F5,"")</f>
        <v/>
      </c>
      <c r="G5" s="97" t="str">
        <f>IFERROR('4.Valoracion'!G4/'1.IS'!G5,"")</f>
        <v/>
      </c>
      <c r="H5" s="97" t="str">
        <f>IFERROR('4.Valoracion'!H4/'1.IS'!H5,"")</f>
        <v/>
      </c>
      <c r="I5" s="97" t="str">
        <f>IFERROR('4.Valoracion'!I4/'1.IS'!I5,"")</f>
        <v/>
      </c>
      <c r="J5" s="97" t="str">
        <f>IFERROR('4.Valoracion'!J4/'1.IS'!J5,"")</f>
        <v/>
      </c>
      <c r="K5" s="101" t="str">
        <f>IFERROR('4.Valoracion'!K4/'1.IS'!K5,"")</f>
        <v/>
      </c>
      <c r="L5" s="179" t="str">
        <f>IFERROR(_xlfn.FORECAST.LINEAR(2025, B5:K5, B2:K2),K5)</f>
        <v/>
      </c>
      <c r="M5" s="180" t="str">
        <f>L5</f>
        <v/>
      </c>
      <c r="N5" s="180" t="str">
        <f t="shared" ref="N5:P5" si="0">M5</f>
        <v/>
      </c>
      <c r="O5" s="180" t="str">
        <f t="shared" si="0"/>
        <v/>
      </c>
      <c r="P5" s="181" t="str">
        <f t="shared" si="0"/>
        <v/>
      </c>
      <c r="R5" s="308"/>
    </row>
    <row r="6" spans="1:18" s="6" customFormat="1" ht="25" customHeight="1" thickTop="1" x14ac:dyDescent="0.2">
      <c r="A6" s="264" t="s">
        <v>23</v>
      </c>
      <c r="B6" s="135" t="str">
        <f>IFERROR(B3+B4,"")</f>
        <v/>
      </c>
      <c r="C6" s="135" t="str">
        <f t="shared" ref="C6:K6" si="1">IFERROR(C3+C4,"")</f>
        <v/>
      </c>
      <c r="D6" s="135" t="str">
        <f t="shared" si="1"/>
        <v/>
      </c>
      <c r="E6" s="135" t="str">
        <f t="shared" si="1"/>
        <v/>
      </c>
      <c r="F6" s="135" t="str">
        <f t="shared" si="1"/>
        <v/>
      </c>
      <c r="G6" s="135" t="str">
        <f t="shared" si="1"/>
        <v/>
      </c>
      <c r="H6" s="135" t="str">
        <f t="shared" si="1"/>
        <v/>
      </c>
      <c r="I6" s="135" t="str">
        <f t="shared" si="1"/>
        <v/>
      </c>
      <c r="J6" s="135" t="str">
        <f t="shared" si="1"/>
        <v/>
      </c>
      <c r="K6" s="135" t="str">
        <f t="shared" si="1"/>
        <v/>
      </c>
      <c r="L6" s="140" t="str">
        <f>IFERROR((L3+L4),"")</f>
        <v/>
      </c>
      <c r="M6" s="135" t="str">
        <f>IFERROR((M3+M4),"")</f>
        <v/>
      </c>
      <c r="N6" s="135" t="str">
        <f>IFERROR((N3+N4),"")</f>
        <v/>
      </c>
      <c r="O6" s="135" t="str">
        <f>IFERROR((O3+O4),"")</f>
        <v/>
      </c>
      <c r="P6" s="146" t="str">
        <f>IFERROR((P3+P4),"")</f>
        <v/>
      </c>
      <c r="R6" s="308"/>
    </row>
    <row r="7" spans="1:18" s="6" customFormat="1" ht="25" hidden="1" customHeight="1" x14ac:dyDescent="0.2">
      <c r="A7" s="263" t="s">
        <v>2</v>
      </c>
      <c r="B7" s="266">
        <f>'1.IS'!B5</f>
        <v>0</v>
      </c>
      <c r="C7" s="192">
        <f>'1.IS'!C5</f>
        <v>0</v>
      </c>
      <c r="D7" s="192">
        <f>'1.IS'!D5</f>
        <v>0</v>
      </c>
      <c r="E7" s="192">
        <f>'1.IS'!E5</f>
        <v>0</v>
      </c>
      <c r="F7" s="192">
        <f>'1.IS'!F5</f>
        <v>0</v>
      </c>
      <c r="G7" s="192">
        <f>'1.IS'!G5</f>
        <v>0</v>
      </c>
      <c r="H7" s="267">
        <f>'1.IS'!H5</f>
        <v>0</v>
      </c>
      <c r="I7" s="267">
        <f>'1.IS'!I5</f>
        <v>0</v>
      </c>
      <c r="J7" s="267">
        <f>'1.IS'!J5</f>
        <v>0</v>
      </c>
      <c r="K7" s="267">
        <f>'1.IS'!K5</f>
        <v>0</v>
      </c>
      <c r="L7" s="268" t="str">
        <f>'1.IS'!L5</f>
        <v/>
      </c>
      <c r="M7" s="192" t="str">
        <f>'1.IS'!M5</f>
        <v/>
      </c>
      <c r="N7" s="192" t="str">
        <f>'1.IS'!N5</f>
        <v/>
      </c>
      <c r="O7" s="192" t="str">
        <f>'1.IS'!O5</f>
        <v/>
      </c>
      <c r="P7" s="193" t="str">
        <f>'1.IS'!P5</f>
        <v/>
      </c>
    </row>
    <row r="8" spans="1:18" s="6" customFormat="1" ht="25" hidden="1" customHeight="1" x14ac:dyDescent="0.2">
      <c r="A8" s="263" t="s">
        <v>4</v>
      </c>
      <c r="B8" s="121" t="str">
        <f>'1.IS'!B9</f>
        <v>0</v>
      </c>
      <c r="C8" s="87" t="str">
        <f>'1.IS'!C9</f>
        <v>0</v>
      </c>
      <c r="D8" s="87" t="str">
        <f>'1.IS'!D9</f>
        <v>0</v>
      </c>
      <c r="E8" s="87" t="str">
        <f>'1.IS'!E9</f>
        <v>0</v>
      </c>
      <c r="F8" s="87" t="str">
        <f>'1.IS'!F9</f>
        <v>0</v>
      </c>
      <c r="G8" s="87" t="str">
        <f>'1.IS'!G9</f>
        <v>0</v>
      </c>
      <c r="H8" s="85" t="str">
        <f>'1.IS'!H9</f>
        <v>0</v>
      </c>
      <c r="I8" s="85" t="str">
        <f>'1.IS'!I9</f>
        <v>0</v>
      </c>
      <c r="J8" s="85" t="str">
        <f>'1.IS'!J9</f>
        <v>0</v>
      </c>
      <c r="K8" s="85" t="str">
        <f>'1.IS'!K9</f>
        <v>0</v>
      </c>
      <c r="L8" s="93" t="str">
        <f>'1.IS'!L9</f>
        <v/>
      </c>
      <c r="M8" s="87" t="str">
        <f>'1.IS'!M9</f>
        <v/>
      </c>
      <c r="N8" s="87" t="str">
        <f>'1.IS'!N9</f>
        <v/>
      </c>
      <c r="O8" s="87" t="str">
        <f>'1.IS'!O9</f>
        <v/>
      </c>
      <c r="P8" s="125" t="str">
        <f>'1.IS'!P9</f>
        <v/>
      </c>
    </row>
    <row r="9" spans="1:18" s="6" customFormat="1" ht="25" hidden="1" customHeight="1" x14ac:dyDescent="0.2">
      <c r="A9" s="263" t="s">
        <v>5</v>
      </c>
      <c r="B9" s="121">
        <f>'1.IS'!B20</f>
        <v>0</v>
      </c>
      <c r="C9" s="87">
        <f>'1.IS'!C20</f>
        <v>0</v>
      </c>
      <c r="D9" s="87">
        <f>'1.IS'!D20</f>
        <v>0</v>
      </c>
      <c r="E9" s="87">
        <f>'1.IS'!E20</f>
        <v>0</v>
      </c>
      <c r="F9" s="87">
        <f>'1.IS'!F20</f>
        <v>0</v>
      </c>
      <c r="G9" s="87">
        <f>'1.IS'!G20</f>
        <v>0</v>
      </c>
      <c r="H9" s="85">
        <f>'1.IS'!H20</f>
        <v>0</v>
      </c>
      <c r="I9" s="85">
        <f>'1.IS'!I20</f>
        <v>0</v>
      </c>
      <c r="J9" s="85">
        <f>'1.IS'!J20</f>
        <v>0</v>
      </c>
      <c r="K9" s="85">
        <f>'1.IS'!K20</f>
        <v>0</v>
      </c>
      <c r="L9" s="93" t="str">
        <f>'1.IS'!L20</f>
        <v/>
      </c>
      <c r="M9" s="87" t="str">
        <f>'1.IS'!M20</f>
        <v/>
      </c>
      <c r="N9" s="87" t="str">
        <f>'1.IS'!N20</f>
        <v/>
      </c>
      <c r="O9" s="87" t="str">
        <f>'1.IS'!O20</f>
        <v/>
      </c>
      <c r="P9" s="125" t="str">
        <f>'1.IS'!P20</f>
        <v/>
      </c>
    </row>
    <row r="10" spans="1:18" s="6" customFormat="1" ht="25" hidden="1" customHeight="1" x14ac:dyDescent="0.2">
      <c r="A10" s="265" t="s">
        <v>6</v>
      </c>
      <c r="B10" s="95">
        <f>'2.FCF'!B14</f>
        <v>0</v>
      </c>
      <c r="C10" s="94">
        <f>'2.FCF'!C14</f>
        <v>0</v>
      </c>
      <c r="D10" s="94">
        <f>'2.FCF'!D14</f>
        <v>0</v>
      </c>
      <c r="E10" s="94">
        <f>'2.FCF'!E14</f>
        <v>0</v>
      </c>
      <c r="F10" s="94">
        <f>'2.FCF'!F14</f>
        <v>0</v>
      </c>
      <c r="G10" s="94">
        <f>'2.FCF'!G14</f>
        <v>0</v>
      </c>
      <c r="H10" s="94">
        <f>'2.FCF'!H14</f>
        <v>0</v>
      </c>
      <c r="I10" s="94">
        <f>'2.FCF'!I14</f>
        <v>0</v>
      </c>
      <c r="J10" s="94">
        <f>'2.FCF'!J14</f>
        <v>0</v>
      </c>
      <c r="K10" s="94">
        <f>'2.FCF'!K14</f>
        <v>0</v>
      </c>
      <c r="L10" s="95" t="str">
        <f>'2.FCF'!L14</f>
        <v/>
      </c>
      <c r="M10" s="94" t="str">
        <f>'2.FCF'!M14</f>
        <v/>
      </c>
      <c r="N10" s="94" t="str">
        <f>'2.FCF'!N14</f>
        <v/>
      </c>
      <c r="O10" s="94" t="str">
        <f>'2.FCF'!O14</f>
        <v/>
      </c>
      <c r="P10" s="269" t="str">
        <f>'2.FCF'!P14</f>
        <v/>
      </c>
    </row>
    <row r="11" spans="1:18" s="6" customFormat="1" ht="25" customHeight="1" x14ac:dyDescent="0.2">
      <c r="A11" s="279"/>
      <c r="B11" s="280"/>
      <c r="C11" s="89"/>
      <c r="D11" s="89"/>
      <c r="E11" s="89"/>
      <c r="F11" s="89"/>
      <c r="G11" s="89"/>
      <c r="H11" s="89"/>
      <c r="I11" s="89"/>
      <c r="J11" s="89"/>
      <c r="K11" s="281"/>
      <c r="L11" s="281"/>
      <c r="M11" s="89"/>
      <c r="N11" s="89"/>
      <c r="O11" s="89"/>
      <c r="P11" s="89"/>
    </row>
    <row r="12" spans="1:18" s="6" customFormat="1" ht="35" customHeight="1" x14ac:dyDescent="0.2">
      <c r="A12" s="102" t="s">
        <v>218</v>
      </c>
      <c r="B12" s="55" t="str">
        <f>B2</f>
        <v/>
      </c>
      <c r="C12" s="55" t="str">
        <f t="shared" ref="C12:P12" si="2">C2</f>
        <v/>
      </c>
      <c r="D12" s="55" t="str">
        <f t="shared" si="2"/>
        <v/>
      </c>
      <c r="E12" s="55" t="str">
        <f t="shared" si="2"/>
        <v/>
      </c>
      <c r="F12" s="55" t="str">
        <f t="shared" si="2"/>
        <v/>
      </c>
      <c r="G12" s="55" t="str">
        <f t="shared" si="2"/>
        <v/>
      </c>
      <c r="H12" s="55" t="str">
        <f t="shared" si="2"/>
        <v/>
      </c>
      <c r="I12" s="55" t="str">
        <f t="shared" si="2"/>
        <v/>
      </c>
      <c r="J12" s="55" t="str">
        <f t="shared" si="2"/>
        <v/>
      </c>
      <c r="K12" s="55" t="str">
        <f t="shared" si="2"/>
        <v/>
      </c>
      <c r="L12" s="8" t="str">
        <f t="shared" si="2"/>
        <v/>
      </c>
      <c r="M12" s="8" t="str">
        <f t="shared" si="2"/>
        <v/>
      </c>
      <c r="N12" s="8" t="str">
        <f t="shared" si="2"/>
        <v/>
      </c>
      <c r="O12" s="8" t="str">
        <f t="shared" si="2"/>
        <v/>
      </c>
      <c r="P12" s="8" t="str">
        <f t="shared" si="2"/>
        <v/>
      </c>
      <c r="Q12" s="62" t="str" cm="1">
        <f t="array" ref="Q12">IFERROR("Mediana "&amp;CHAR(10)&amp;INDEX(B2:K2,MATCH(TRUE,VALUE(B2:K2)&gt;0,))&amp;" - "&amp;K$2,"")</f>
        <v/>
      </c>
    </row>
    <row r="13" spans="1:18" s="6" customFormat="1" ht="25" customHeight="1" x14ac:dyDescent="0.2">
      <c r="A13" s="270" t="s">
        <v>20</v>
      </c>
      <c r="B13" s="121" t="str">
        <f>IFERROR(B3/B9,"")</f>
        <v/>
      </c>
      <c r="C13" s="87" t="str">
        <f t="shared" ref="C13:K13" si="3">IFERROR(C3/C9,"")</f>
        <v/>
      </c>
      <c r="D13" s="87" t="str">
        <f t="shared" si="3"/>
        <v/>
      </c>
      <c r="E13" s="87" t="str">
        <f t="shared" si="3"/>
        <v/>
      </c>
      <c r="F13" s="87" t="str">
        <f t="shared" si="3"/>
        <v/>
      </c>
      <c r="G13" s="87" t="str">
        <f t="shared" si="3"/>
        <v/>
      </c>
      <c r="H13" s="85" t="str">
        <f t="shared" si="3"/>
        <v/>
      </c>
      <c r="I13" s="85" t="str">
        <f t="shared" si="3"/>
        <v/>
      </c>
      <c r="J13" s="85" t="str">
        <f t="shared" si="3"/>
        <v/>
      </c>
      <c r="K13" s="117" t="str">
        <f t="shared" si="3"/>
        <v/>
      </c>
      <c r="L13" s="124" t="str">
        <f>IF($B$19&lt;&gt;"",IFERROR($B$19/'1.IS'!L23,""),"")</f>
        <v/>
      </c>
      <c r="M13" s="87" t="str">
        <f>IF($B$19&lt;&gt;"",IFERROR($B$19/'1.IS'!M23,""),"")</f>
        <v/>
      </c>
      <c r="N13" s="87" t="str">
        <f>IF($B$19&lt;&gt;"",IFERROR($B$19/'1.IS'!N23,""),"")</f>
        <v/>
      </c>
      <c r="O13" s="87" t="str">
        <f>IF($B$19&lt;&gt;"",IFERROR($B$19/'1.IS'!O23,""),"")</f>
        <v/>
      </c>
      <c r="P13" s="125" t="str">
        <f>IF($B$19&lt;&gt;"",IFERROR($B$19/'1.IS'!P23,""),"")</f>
        <v/>
      </c>
      <c r="Q13" s="222" t="str">
        <f>IFERROR(MEDIAN(B13:K13),"")</f>
        <v/>
      </c>
    </row>
    <row r="14" spans="1:18" s="6" customFormat="1" ht="25" customHeight="1" x14ac:dyDescent="0.2">
      <c r="A14" s="272" t="s">
        <v>96</v>
      </c>
      <c r="B14" s="122" t="str">
        <f>IFERROR(B6/B10,"")</f>
        <v/>
      </c>
      <c r="C14" s="88" t="str">
        <f t="shared" ref="C14:K14" si="4">IFERROR(C6/C10,"")</f>
        <v/>
      </c>
      <c r="D14" s="88" t="str">
        <f t="shared" si="4"/>
        <v/>
      </c>
      <c r="E14" s="88" t="str">
        <f t="shared" si="4"/>
        <v/>
      </c>
      <c r="F14" s="88" t="str">
        <f t="shared" si="4"/>
        <v/>
      </c>
      <c r="G14" s="88" t="str">
        <f t="shared" si="4"/>
        <v/>
      </c>
      <c r="H14" s="83" t="str">
        <f t="shared" si="4"/>
        <v/>
      </c>
      <c r="I14" s="83" t="str">
        <f t="shared" si="4"/>
        <v/>
      </c>
      <c r="J14" s="83" t="str">
        <f t="shared" si="4"/>
        <v/>
      </c>
      <c r="K14" s="115" t="str">
        <f t="shared" si="4"/>
        <v/>
      </c>
      <c r="L14" s="273" t="str">
        <f>IF($B$19&lt;&gt;"",IFERROR(L6/L10,""),"")</f>
        <v/>
      </c>
      <c r="M14" s="88" t="str">
        <f>IF($B$19&lt;&gt;"",IFERROR(M6/M10,""),"")</f>
        <v/>
      </c>
      <c r="N14" s="88" t="str">
        <f>IF($B$19&lt;&gt;"",IFERROR(N6/N10,""),"")</f>
        <v/>
      </c>
      <c r="O14" s="88" t="str">
        <f>IF($B$19&lt;&gt;"",IFERROR(O6/O10,""),"")</f>
        <v/>
      </c>
      <c r="P14" s="127" t="str">
        <f>IF($B$19&lt;&gt;"",IFERROR(P6/P10,""),"")</f>
        <v/>
      </c>
      <c r="Q14" s="282" t="str">
        <f>IFERROR(MEDIAN(B14:K14),"")</f>
        <v/>
      </c>
    </row>
    <row r="15" spans="1:18" s="6" customFormat="1" ht="25" hidden="1" customHeight="1" x14ac:dyDescent="0.2">
      <c r="A15" s="270" t="s">
        <v>223</v>
      </c>
      <c r="B15" s="121" t="str">
        <f>$Q$14</f>
        <v/>
      </c>
      <c r="C15" s="87" t="str">
        <f t="shared" ref="C15:K15" si="5">$Q$14</f>
        <v/>
      </c>
      <c r="D15" s="87" t="str">
        <f t="shared" si="5"/>
        <v/>
      </c>
      <c r="E15" s="87" t="str">
        <f t="shared" si="5"/>
        <v/>
      </c>
      <c r="F15" s="87" t="str">
        <f t="shared" si="5"/>
        <v/>
      </c>
      <c r="G15" s="87" t="str">
        <f t="shared" si="5"/>
        <v/>
      </c>
      <c r="H15" s="85" t="str">
        <f t="shared" si="5"/>
        <v/>
      </c>
      <c r="I15" s="85" t="str">
        <f t="shared" si="5"/>
        <v/>
      </c>
      <c r="J15" s="85" t="str">
        <f t="shared" si="5"/>
        <v/>
      </c>
      <c r="K15" s="117" t="str">
        <f t="shared" si="5"/>
        <v/>
      </c>
      <c r="L15" s="273"/>
      <c r="M15" s="88"/>
      <c r="N15" s="88"/>
      <c r="O15" s="88"/>
      <c r="P15" s="127"/>
      <c r="Q15" s="282"/>
    </row>
    <row r="16" spans="1:18" s="6" customFormat="1" ht="25" customHeight="1" x14ac:dyDescent="0.2">
      <c r="A16" s="270" t="s">
        <v>97</v>
      </c>
      <c r="B16" s="121" t="str">
        <f>IFERROR(B6/B7,"")</f>
        <v/>
      </c>
      <c r="C16" s="87" t="str">
        <f t="shared" ref="C16:K16" si="6">IFERROR(C6/C7,"")</f>
        <v/>
      </c>
      <c r="D16" s="87" t="str">
        <f t="shared" si="6"/>
        <v/>
      </c>
      <c r="E16" s="87" t="str">
        <f t="shared" si="6"/>
        <v/>
      </c>
      <c r="F16" s="87" t="str">
        <f t="shared" si="6"/>
        <v/>
      </c>
      <c r="G16" s="87" t="str">
        <f t="shared" si="6"/>
        <v/>
      </c>
      <c r="H16" s="85" t="str">
        <f t="shared" si="6"/>
        <v/>
      </c>
      <c r="I16" s="85" t="str">
        <f t="shared" si="6"/>
        <v/>
      </c>
      <c r="J16" s="85" t="str">
        <f t="shared" si="6"/>
        <v/>
      </c>
      <c r="K16" s="117" t="str">
        <f t="shared" si="6"/>
        <v/>
      </c>
      <c r="L16" s="274" t="str">
        <f>IF($B$19&lt;&gt;"",IFERROR(L6/L7,""),"")</f>
        <v/>
      </c>
      <c r="M16" s="87" t="str">
        <f>IF($B$19&lt;&gt;"",IFERROR(M6/M7,""),"")</f>
        <v/>
      </c>
      <c r="N16" s="87" t="str">
        <f>IF($B$19&lt;&gt;"",IFERROR(N6/N7,""),"")</f>
        <v/>
      </c>
      <c r="O16" s="87" t="str">
        <f>IF($B$19&lt;&gt;"",IFERROR(O6/O7,""),"")</f>
        <v/>
      </c>
      <c r="P16" s="125" t="str">
        <f>IF($B$19&lt;&gt;"",IFERROR(P6/P7,""),"")</f>
        <v/>
      </c>
      <c r="Q16" s="222" t="str">
        <f>IFERROR(MEDIAN(B16:K16),"")</f>
        <v/>
      </c>
    </row>
    <row r="17" spans="1:17" s="6" customFormat="1" ht="25" customHeight="1" x14ac:dyDescent="0.2">
      <c r="A17" s="271" t="s">
        <v>98</v>
      </c>
      <c r="B17" s="95" t="str">
        <f>IFERROR(B6/B8,"")</f>
        <v/>
      </c>
      <c r="C17" s="94" t="str">
        <f t="shared" ref="C17:K17" si="7">IFERROR(C6/C8,"")</f>
        <v/>
      </c>
      <c r="D17" s="94" t="str">
        <f t="shared" si="7"/>
        <v/>
      </c>
      <c r="E17" s="94" t="str">
        <f t="shared" si="7"/>
        <v/>
      </c>
      <c r="F17" s="94" t="str">
        <f t="shared" si="7"/>
        <v/>
      </c>
      <c r="G17" s="94" t="str">
        <f t="shared" si="7"/>
        <v/>
      </c>
      <c r="H17" s="94" t="str">
        <f t="shared" si="7"/>
        <v/>
      </c>
      <c r="I17" s="94" t="str">
        <f t="shared" si="7"/>
        <v/>
      </c>
      <c r="J17" s="94" t="str">
        <f t="shared" si="7"/>
        <v/>
      </c>
      <c r="K17" s="269" t="str">
        <f t="shared" si="7"/>
        <v/>
      </c>
      <c r="L17" s="275" t="str">
        <f>IF($B$19&lt;&gt;"",IFERROR(L6/L8,""),"")</f>
        <v/>
      </c>
      <c r="M17" s="94" t="str">
        <f>IF($B$19&lt;&gt;"",IFERROR(M6/M8,""),"")</f>
        <v/>
      </c>
      <c r="N17" s="94" t="str">
        <f>IF($B$19&lt;&gt;"",IFERROR(N6/N8,""),"")</f>
        <v/>
      </c>
      <c r="O17" s="94" t="str">
        <f>IF($B$19&lt;&gt;"",IFERROR(O6/O8,""),"")</f>
        <v/>
      </c>
      <c r="P17" s="269" t="str">
        <f>IF($B$19&lt;&gt;"",IFERROR(P6/P8,""),"")</f>
        <v/>
      </c>
      <c r="Q17" s="283" t="str">
        <f>IFERROR(MEDIAN(B17:K17),"")</f>
        <v/>
      </c>
    </row>
    <row r="18" spans="1:17" s="6" customFormat="1" ht="15" customHeight="1" thickBot="1" x14ac:dyDescent="0.25">
      <c r="A18" s="66"/>
      <c r="B18" s="89"/>
      <c r="C18" s="89"/>
      <c r="D18" s="89"/>
      <c r="E18" s="89"/>
      <c r="F18" s="89"/>
      <c r="G18" s="89"/>
      <c r="H18" s="89"/>
      <c r="I18" s="89"/>
      <c r="J18" s="89"/>
      <c r="K18" s="89"/>
      <c r="L18" s="89"/>
      <c r="M18" s="89"/>
      <c r="N18" s="89"/>
      <c r="O18" s="89"/>
      <c r="P18" s="89"/>
      <c r="Q18" s="24"/>
    </row>
    <row r="19" spans="1:17" s="6" customFormat="1" ht="25" customHeight="1" thickTop="1" thickBot="1" x14ac:dyDescent="0.25">
      <c r="A19" s="284" t="s">
        <v>19</v>
      </c>
      <c r="B19" s="178"/>
      <c r="E19" s="89"/>
      <c r="L19" s="249"/>
      <c r="N19" s="89"/>
      <c r="O19" s="89"/>
      <c r="P19" s="89"/>
      <c r="Q19" s="24"/>
    </row>
    <row r="20" spans="1:17" s="6" customFormat="1" ht="15" customHeight="1" thickTop="1" x14ac:dyDescent="0.2">
      <c r="A20" s="66"/>
      <c r="B20" s="26"/>
      <c r="C20" s="26"/>
      <c r="D20" s="89"/>
      <c r="E20" s="89"/>
      <c r="F20" s="89"/>
      <c r="G20" s="89"/>
      <c r="H20" s="89"/>
      <c r="I20" s="89"/>
      <c r="J20" s="89"/>
      <c r="K20" s="89"/>
      <c r="L20" s="89"/>
      <c r="M20" s="89"/>
      <c r="N20" s="26"/>
      <c r="O20" s="26"/>
      <c r="P20" s="26"/>
    </row>
    <row r="21" spans="1:17" s="6" customFormat="1" ht="35" customHeight="1" thickBot="1" x14ac:dyDescent="0.25">
      <c r="A21" s="145" t="s">
        <v>219</v>
      </c>
      <c r="B21" s="96" t="s">
        <v>72</v>
      </c>
      <c r="E21" s="68"/>
      <c r="G21" s="7"/>
      <c r="H21" s="7"/>
      <c r="I21" s="7"/>
      <c r="J21" s="7"/>
      <c r="K21" s="7"/>
      <c r="L21" s="7"/>
      <c r="M21" s="7"/>
      <c r="N21" s="7"/>
      <c r="O21" s="7"/>
      <c r="P21" s="7"/>
    </row>
    <row r="22" spans="1:17" s="6" customFormat="1" ht="25" customHeight="1" thickTop="1" x14ac:dyDescent="0.2">
      <c r="A22" s="148" t="s">
        <v>20</v>
      </c>
      <c r="B22" s="276" t="str">
        <f>L13</f>
        <v/>
      </c>
      <c r="E22" s="69"/>
      <c r="G22" s="7"/>
      <c r="H22" s="7"/>
      <c r="I22" s="7"/>
      <c r="J22" s="7"/>
      <c r="K22" s="7"/>
      <c r="L22" s="7"/>
      <c r="M22" s="7"/>
      <c r="N22" s="7"/>
      <c r="O22" s="7"/>
      <c r="P22" s="7"/>
    </row>
    <row r="23" spans="1:17" s="6" customFormat="1" ht="25" customHeight="1" x14ac:dyDescent="0.2">
      <c r="A23" s="114" t="s">
        <v>96</v>
      </c>
      <c r="B23" s="277" t="str">
        <f>L14</f>
        <v/>
      </c>
      <c r="E23" s="307" t="s">
        <v>154</v>
      </c>
      <c r="F23" s="307"/>
      <c r="G23" s="307"/>
      <c r="J23" s="7"/>
      <c r="K23" s="7"/>
      <c r="L23" s="7"/>
      <c r="M23" s="7"/>
      <c r="N23" s="7"/>
      <c r="O23" s="7"/>
      <c r="P23" s="7"/>
    </row>
    <row r="24" spans="1:17" s="6" customFormat="1" ht="25" customHeight="1" x14ac:dyDescent="0.2">
      <c r="A24" s="60" t="s">
        <v>97</v>
      </c>
      <c r="B24" s="277" t="str">
        <f>L16</f>
        <v/>
      </c>
      <c r="E24" s="307"/>
      <c r="F24" s="307"/>
      <c r="G24" s="307"/>
      <c r="J24" s="7"/>
      <c r="K24" s="7"/>
      <c r="L24" s="7"/>
      <c r="M24" s="7"/>
      <c r="N24" s="7"/>
      <c r="O24" s="7"/>
      <c r="P24" s="7"/>
    </row>
    <row r="25" spans="1:17" s="6" customFormat="1" ht="25" customHeight="1" thickBot="1" x14ac:dyDescent="0.25">
      <c r="A25" s="23" t="s">
        <v>98</v>
      </c>
      <c r="B25" s="278" t="str">
        <f>L17</f>
        <v/>
      </c>
      <c r="E25" s="69"/>
      <c r="G25" s="7"/>
      <c r="H25" s="7"/>
      <c r="I25" s="7"/>
      <c r="J25" s="7"/>
      <c r="K25" s="7"/>
      <c r="L25" s="7"/>
      <c r="M25" s="7"/>
      <c r="N25" s="7"/>
      <c r="O25" s="7"/>
      <c r="P25" s="7"/>
      <c r="Q25" s="24"/>
    </row>
    <row r="26" spans="1:17" s="6" customFormat="1" ht="19" thickTop="1" thickBot="1" x14ac:dyDescent="0.25">
      <c r="A26" s="66"/>
      <c r="B26" s="149"/>
      <c r="C26" s="70"/>
      <c r="D26" s="252"/>
      <c r="E26" s="69"/>
      <c r="G26" s="7"/>
      <c r="H26" s="7"/>
      <c r="I26" s="7"/>
      <c r="J26" s="7"/>
      <c r="K26" s="7"/>
      <c r="L26" s="7"/>
      <c r="M26" s="7"/>
      <c r="N26" s="7"/>
      <c r="O26" s="7"/>
      <c r="P26" s="7"/>
      <c r="Q26" s="24"/>
    </row>
    <row r="27" spans="1:17" s="6" customFormat="1" ht="35" customHeight="1" thickTop="1" x14ac:dyDescent="0.2">
      <c r="A27" s="145" t="s">
        <v>73</v>
      </c>
      <c r="B27" s="144" t="str">
        <f>L2</f>
        <v/>
      </c>
      <c r="C27" s="144" t="str">
        <f>M2</f>
        <v/>
      </c>
      <c r="D27" s="144" t="str">
        <f>N2</f>
        <v/>
      </c>
      <c r="E27" s="144" t="str">
        <f>O2</f>
        <v/>
      </c>
      <c r="F27" s="194" t="str">
        <f>P2</f>
        <v/>
      </c>
      <c r="H27" s="312" t="str">
        <f>"Retorno Anualizado"&amp;CHAR(10)&amp;"valorando por..."</f>
        <v>Retorno Anualizado
valorando por...</v>
      </c>
      <c r="I27" s="312"/>
      <c r="J27" s="312"/>
      <c r="K27" s="144" t="str">
        <f>"CAGR"&amp;CHAR(10)&amp;"5 años"</f>
        <v>CAGR
5 años</v>
      </c>
      <c r="O27" s="7"/>
      <c r="P27" s="7"/>
    </row>
    <row r="28" spans="1:17" s="6" customFormat="1" ht="25" customHeight="1" thickBot="1" x14ac:dyDescent="0.25">
      <c r="A28" s="66" t="s">
        <v>63</v>
      </c>
      <c r="B28" s="14" t="str">
        <f>IF(B19&lt;&gt;"",IFERROR(IF(--L4&lt;0,(L9*$B$22-L4),IF(--L4&gt;0,L9*$B$22))/'1.IS'!L25,""),"")</f>
        <v/>
      </c>
      <c r="C28" s="14" t="str">
        <f>IF(B19&lt;&gt;"",IFERROR(IF(--M4&lt;0,(M9*$B$22-M4),IF(--M4&gt;0,M9*$B$22))/'1.IS'!M25,""),"")</f>
        <v/>
      </c>
      <c r="D28" s="14" t="str">
        <f>IF(B19&lt;&gt;"",IFERROR(IF(--N4&lt;0,(N9*$B$22-N4),IF(--N4&gt;0,N9*$B$22))/'1.IS'!N25,""),"")</f>
        <v/>
      </c>
      <c r="E28" s="14" t="str">
        <f>IF(B19&lt;&gt;"",IFERROR(IF(--O4&lt;0,(O9*$B$22-O4),IF(--O4&gt;0,O9*$B$22))/'1.IS'!O25,""),"")</f>
        <v/>
      </c>
      <c r="F28" s="195" t="str">
        <f>IF(B19&lt;&gt;"",IFERROR(IF(--P4&lt;0,(P9*$B$22-P4),IF(--P4&gt;0,P9*$B$22))/'1.IS'!P25,""),"")</f>
        <v/>
      </c>
      <c r="H28" s="66" t="s">
        <v>63</v>
      </c>
      <c r="I28" s="66"/>
      <c r="J28" s="66"/>
      <c r="K28" s="147" t="str">
        <f>IFERROR((F28/$B$19)^(1/5)-1,"")</f>
        <v/>
      </c>
      <c r="O28" s="7"/>
      <c r="P28" s="7"/>
    </row>
    <row r="29" spans="1:17" s="6" customFormat="1" ht="25" customHeight="1" thickBot="1" x14ac:dyDescent="0.25">
      <c r="A29" s="150" t="s">
        <v>99</v>
      </c>
      <c r="B29" s="151" t="str">
        <f>IF(B19&lt;&gt;"",IFERROR(((L10*$B$23)-L4)/'1.IS'!L25,""),"")</f>
        <v/>
      </c>
      <c r="C29" s="151" t="str">
        <f>IF(B19&lt;&gt;"",IFERROR(((M10*$B$23)-M4)/'1.IS'!M25,""),"")</f>
        <v/>
      </c>
      <c r="D29" s="151" t="str">
        <f>IF(B19&lt;&gt;"",IFERROR(((N10*$B$23)-N4)/'1.IS'!N25,""),"")</f>
        <v/>
      </c>
      <c r="E29" s="151" t="str">
        <f>IF(B19&lt;&gt;"",IFERROR(((O10*$B$23)-O4)/'1.IS'!O25,""),"")</f>
        <v/>
      </c>
      <c r="F29" s="196" t="str">
        <f>IF(B19&lt;&gt;"",IFERROR(((P10*$B$23)-P4)/'1.IS'!P25,""),"")</f>
        <v/>
      </c>
      <c r="H29" s="150" t="s">
        <v>96</v>
      </c>
      <c r="I29" s="152"/>
      <c r="J29" s="152"/>
      <c r="K29" s="153" t="str">
        <f>IFERROR((F29/$B$19)^(1/5)-1,"")</f>
        <v/>
      </c>
      <c r="O29" s="7"/>
      <c r="P29" s="7"/>
    </row>
    <row r="30" spans="1:17" s="6" customFormat="1" ht="25" customHeight="1" x14ac:dyDescent="0.2">
      <c r="A30" s="18" t="s">
        <v>97</v>
      </c>
      <c r="B30" s="14" t="str">
        <f>IF(B19&lt;&gt;"",IFERROR(((L7*$B$24)-L4)/'1.IS'!L25,""),"")</f>
        <v/>
      </c>
      <c r="C30" s="14" t="str">
        <f>IF(B19&lt;&gt;"",IFERROR(((M7*$B$24)-M4)/'1.IS'!M25,""),"")</f>
        <v/>
      </c>
      <c r="D30" s="14" t="str">
        <f>IF(B19&lt;&gt;"",IFERROR(((N7*$B$24)-N4)/'1.IS'!N25,""),"")</f>
        <v/>
      </c>
      <c r="E30" s="14" t="str">
        <f>IF(B19&lt;&gt;"",IFERROR(((O7*$B$24)-O4)/'1.IS'!O25,""),"")</f>
        <v/>
      </c>
      <c r="F30" s="195" t="str">
        <f>IF(B19&lt;&gt;"",IFERROR(((P7*$B$24)-P4)/'1.IS'!P25,""),"")</f>
        <v/>
      </c>
      <c r="H30" s="18" t="s">
        <v>97</v>
      </c>
      <c r="I30" s="18"/>
      <c r="J30" s="18"/>
      <c r="K30" s="147" t="str">
        <f>IFERROR((F30/$B$19)^(1/5)-1,"")</f>
        <v/>
      </c>
      <c r="O30" s="7"/>
      <c r="P30" s="7"/>
    </row>
    <row r="31" spans="1:17" s="6" customFormat="1" ht="25" customHeight="1" x14ac:dyDescent="0.2">
      <c r="A31" s="66" t="s">
        <v>98</v>
      </c>
      <c r="B31" s="67" t="str">
        <f>IF(B19&lt;&gt;"",IFERROR(((L8*$B$25)-L4)/'1.IS'!L25,""),"")</f>
        <v/>
      </c>
      <c r="C31" s="67" t="str">
        <f>IF(B19&lt;&gt;"",IFERROR(((M8*$B$25)-M4)/'1.IS'!M25,""),"")</f>
        <v/>
      </c>
      <c r="D31" s="67" t="str">
        <f>IF(B19&lt;&gt;"",IFERROR(((N8*$B$25)-N4)/'1.IS'!N25,""),"")</f>
        <v/>
      </c>
      <c r="E31" s="67" t="str">
        <f>IF(B19&lt;&gt;"",IFERROR(((O8*$B$25)-O4)/'1.IS'!O25,""),"")</f>
        <v/>
      </c>
      <c r="F31" s="195" t="str">
        <f>IF(B19&lt;&gt;"",IFERROR(((P8*$B$25)-P4)/'1.IS'!P25,""),"")</f>
        <v/>
      </c>
      <c r="H31" s="66" t="s">
        <v>98</v>
      </c>
      <c r="I31" s="66"/>
      <c r="J31" s="66"/>
      <c r="K31" s="147" t="str">
        <f>IFERROR((F31/$B$19)^(1/5)-1,"")</f>
        <v/>
      </c>
      <c r="O31" s="7"/>
      <c r="P31" s="7"/>
    </row>
    <row r="32" spans="1:17" s="6" customFormat="1" ht="25" customHeight="1" x14ac:dyDescent="0.2">
      <c r="A32" s="167" t="s">
        <v>58</v>
      </c>
      <c r="B32" s="168" t="str">
        <f>IFERROR(AVERAGE(B28:B31),"")</f>
        <v/>
      </c>
      <c r="C32" s="168" t="str">
        <f>IFERROR(AVERAGE(C28:C31),"")</f>
        <v/>
      </c>
      <c r="D32" s="168" t="str">
        <f>IFERROR(AVERAGE(D28:D31),"")</f>
        <v/>
      </c>
      <c r="E32" s="168" t="str">
        <f>IFERROR(AVERAGE(E28:E31),"")</f>
        <v/>
      </c>
      <c r="F32" s="197" t="str">
        <f>IFERROR(AVERAGE(F28:F31),"")</f>
        <v/>
      </c>
      <c r="H32" s="154" t="s">
        <v>58</v>
      </c>
      <c r="I32" s="154"/>
      <c r="J32" s="154"/>
      <c r="K32" s="155" t="str">
        <f>IFERROR(AVERAGE(K28:K31),"")</f>
        <v/>
      </c>
      <c r="O32" s="7"/>
      <c r="P32" s="7"/>
    </row>
    <row r="33" spans="1:16" s="6" customFormat="1" ht="25" customHeight="1" thickBot="1" x14ac:dyDescent="0.25">
      <c r="A33" s="154" t="s">
        <v>208</v>
      </c>
      <c r="B33" s="169" t="str">
        <f>IFERROR((B29/$B$19)-1,"")</f>
        <v/>
      </c>
      <c r="C33" s="169" t="str">
        <f>IFERROR((C29/$B$19)-1,"")</f>
        <v/>
      </c>
      <c r="D33" s="169" t="str">
        <f>IFERROR((D29/$B$19)-1,"")</f>
        <v/>
      </c>
      <c r="E33" s="169" t="str">
        <f>IFERROR((E29/$B$19)-1,"")</f>
        <v/>
      </c>
      <c r="F33" s="198" t="str">
        <f>IFERROR((F29/$B$19)-1,"")</f>
        <v/>
      </c>
      <c r="G33" s="7"/>
      <c r="H33" s="7"/>
      <c r="I33" s="7"/>
      <c r="J33" s="7"/>
      <c r="K33" s="7"/>
      <c r="L33" s="7"/>
      <c r="M33" s="7"/>
      <c r="N33" s="7"/>
      <c r="O33" s="7"/>
      <c r="P33" s="7"/>
    </row>
    <row r="34" spans="1:16" s="6" customFormat="1" ht="17" hidden="1" thickTop="1" x14ac:dyDescent="0.2">
      <c r="H34" s="7"/>
      <c r="I34" s="7"/>
      <c r="J34" s="7"/>
      <c r="K34" s="7"/>
      <c r="L34" s="7"/>
      <c r="M34" s="7"/>
      <c r="N34" s="7"/>
      <c r="O34" s="7"/>
      <c r="P34" s="7"/>
    </row>
    <row r="35" spans="1:16" s="6" customFormat="1" ht="25" hidden="1" customHeight="1" x14ac:dyDescent="0.2">
      <c r="H35" s="7"/>
      <c r="I35" s="7"/>
      <c r="J35" s="7"/>
      <c r="K35" s="7"/>
      <c r="L35" s="7"/>
      <c r="M35" s="7"/>
      <c r="N35" s="7"/>
      <c r="O35" s="7"/>
      <c r="P35" s="7"/>
    </row>
    <row r="36" spans="1:16" s="6" customFormat="1" ht="25" hidden="1" customHeight="1" x14ac:dyDescent="0.2">
      <c r="H36" s="7"/>
      <c r="I36" s="7"/>
      <c r="J36" s="7"/>
      <c r="K36" s="7"/>
      <c r="L36" s="7"/>
      <c r="M36" s="7"/>
      <c r="N36" s="7"/>
      <c r="O36" s="7"/>
      <c r="P36" s="7"/>
    </row>
    <row r="37" spans="1:16" s="6" customFormat="1" ht="25" hidden="1" customHeight="1" x14ac:dyDescent="0.2">
      <c r="H37" s="7"/>
      <c r="I37" s="7"/>
      <c r="J37" s="7"/>
      <c r="K37" s="7"/>
      <c r="L37" s="7"/>
      <c r="M37" s="7"/>
      <c r="N37" s="7"/>
      <c r="O37" s="7"/>
      <c r="P37" s="7"/>
    </row>
    <row r="38" spans="1:16" s="6" customFormat="1" ht="25" hidden="1" customHeight="1" x14ac:dyDescent="0.2">
      <c r="H38" s="7"/>
      <c r="I38" s="7"/>
      <c r="J38" s="7"/>
      <c r="K38" s="7"/>
      <c r="L38" s="7"/>
      <c r="M38" s="7"/>
      <c r="N38" s="7"/>
      <c r="O38" s="7"/>
      <c r="P38" s="7"/>
    </row>
    <row r="39" spans="1:16" s="6" customFormat="1" ht="17" hidden="1" thickTop="1" x14ac:dyDescent="0.2">
      <c r="H39" s="7"/>
      <c r="I39" s="7"/>
      <c r="J39" s="7"/>
      <c r="K39" s="7"/>
      <c r="L39" s="7"/>
      <c r="M39" s="7"/>
      <c r="N39" s="7"/>
      <c r="O39" s="7"/>
      <c r="P39" s="7"/>
    </row>
    <row r="40" spans="1:16" s="6" customFormat="1" ht="17" hidden="1" thickTop="1" x14ac:dyDescent="0.2">
      <c r="A40" s="25"/>
      <c r="B40" s="7"/>
      <c r="C40" s="7"/>
      <c r="D40" s="7"/>
      <c r="E40" s="7"/>
      <c r="F40" s="7"/>
      <c r="G40" s="7"/>
      <c r="H40" s="7"/>
      <c r="I40" s="7"/>
      <c r="J40" s="7"/>
      <c r="K40" s="7"/>
      <c r="L40" s="7"/>
      <c r="M40" s="7"/>
      <c r="N40" s="7"/>
      <c r="O40" s="7"/>
      <c r="P40" s="7"/>
    </row>
    <row r="41" spans="1:16" s="6" customFormat="1" ht="17" hidden="1" thickTop="1" x14ac:dyDescent="0.2">
      <c r="A41" s="25"/>
      <c r="B41" s="7"/>
      <c r="C41" s="7"/>
      <c r="D41" s="7"/>
      <c r="E41" s="7"/>
      <c r="F41" s="7"/>
      <c r="G41" s="7"/>
      <c r="H41" s="7"/>
      <c r="I41" s="7"/>
      <c r="J41" s="7"/>
      <c r="K41" s="7"/>
      <c r="L41" s="7"/>
      <c r="M41" s="7"/>
      <c r="N41" s="7"/>
      <c r="O41" s="7"/>
      <c r="P41" s="7"/>
    </row>
    <row r="42" spans="1:16" s="6" customFormat="1" ht="17" hidden="1" thickTop="1" x14ac:dyDescent="0.2">
      <c r="A42" s="25"/>
      <c r="B42" s="7"/>
      <c r="C42" s="7"/>
      <c r="D42" s="7"/>
      <c r="E42" s="7"/>
      <c r="F42" s="7"/>
      <c r="G42" s="7"/>
      <c r="H42" s="7"/>
      <c r="I42" s="7"/>
      <c r="J42" s="7"/>
      <c r="K42" s="7"/>
      <c r="L42" s="7"/>
      <c r="M42" s="7"/>
      <c r="N42" s="7"/>
      <c r="O42" s="7"/>
      <c r="P42" s="7"/>
    </row>
    <row r="43" spans="1:16" s="6" customFormat="1" ht="17" hidden="1" thickTop="1" x14ac:dyDescent="0.2">
      <c r="C43" s="7"/>
      <c r="D43" s="7"/>
      <c r="E43" s="7"/>
      <c r="F43" s="7"/>
      <c r="G43" s="7"/>
      <c r="H43" s="7"/>
      <c r="I43" s="7"/>
      <c r="J43" s="7"/>
      <c r="K43" s="7"/>
      <c r="L43" s="7"/>
      <c r="M43" s="7"/>
      <c r="N43" s="7"/>
      <c r="O43" s="7"/>
      <c r="P43" s="7"/>
    </row>
    <row r="44" spans="1:16" s="6" customFormat="1" ht="17" hidden="1" thickTop="1" x14ac:dyDescent="0.2">
      <c r="C44" s="7"/>
      <c r="D44" s="7"/>
      <c r="E44" s="7"/>
      <c r="F44" s="7"/>
      <c r="G44" s="7"/>
      <c r="H44" s="7"/>
      <c r="I44" s="7"/>
      <c r="J44" s="7"/>
      <c r="K44" s="7"/>
      <c r="L44" s="7"/>
      <c r="M44" s="7"/>
      <c r="N44" s="7"/>
      <c r="O44" s="7"/>
      <c r="P44" s="7"/>
    </row>
    <row r="45" spans="1:16" s="6" customFormat="1" ht="17" hidden="1" thickTop="1" x14ac:dyDescent="0.2">
      <c r="C45" s="7"/>
      <c r="D45" s="7"/>
      <c r="E45" s="7"/>
      <c r="F45" s="7"/>
      <c r="G45" s="7"/>
      <c r="H45" s="7"/>
      <c r="I45" s="7"/>
      <c r="J45" s="7"/>
      <c r="K45" s="7"/>
      <c r="L45" s="7"/>
      <c r="M45" s="7"/>
      <c r="N45" s="7"/>
      <c r="O45" s="7"/>
      <c r="P45" s="7"/>
    </row>
    <row r="46" spans="1:16" s="6" customFormat="1" ht="17" hidden="1" thickTop="1" x14ac:dyDescent="0.2">
      <c r="C46" s="7"/>
      <c r="D46" s="7"/>
      <c r="E46" s="7"/>
      <c r="F46" s="7"/>
      <c r="G46" s="7"/>
      <c r="H46" s="7"/>
      <c r="I46" s="7"/>
      <c r="J46" s="7"/>
      <c r="K46" s="7"/>
      <c r="L46" s="7"/>
      <c r="M46" s="7"/>
      <c r="N46" s="7"/>
      <c r="O46" s="7"/>
      <c r="P46" s="7"/>
    </row>
    <row r="47" spans="1:16" s="6" customFormat="1" ht="17" hidden="1" thickTop="1" x14ac:dyDescent="0.2">
      <c r="C47" s="7"/>
      <c r="D47" s="7"/>
      <c r="E47" s="7"/>
      <c r="F47" s="7"/>
      <c r="G47" s="7"/>
      <c r="H47" s="7"/>
      <c r="I47" s="7"/>
      <c r="J47" s="7"/>
      <c r="K47" s="7"/>
      <c r="L47" s="7"/>
      <c r="M47" s="7"/>
      <c r="N47" s="7"/>
      <c r="O47" s="7"/>
      <c r="P47" s="7"/>
    </row>
    <row r="48" spans="1:16" s="4" customFormat="1" ht="17" hidden="1" thickTop="1" x14ac:dyDescent="0.2">
      <c r="A48" s="20"/>
      <c r="B48" s="5"/>
      <c r="C48" s="5"/>
      <c r="D48" s="5"/>
      <c r="E48" s="5"/>
      <c r="F48" s="5"/>
      <c r="G48" s="5"/>
      <c r="H48" s="5"/>
      <c r="I48" s="5"/>
      <c r="J48" s="5"/>
      <c r="K48" s="5"/>
      <c r="L48" s="5"/>
      <c r="M48" s="5"/>
      <c r="N48" s="5"/>
      <c r="O48" s="5"/>
      <c r="P48" s="5"/>
    </row>
    <row r="49" spans="1:16" s="4" customFormat="1" ht="15" customHeight="1" thickTop="1" x14ac:dyDescent="0.2">
      <c r="A49" s="20"/>
      <c r="B49" s="5"/>
      <c r="C49" s="5"/>
      <c r="D49" s="5"/>
      <c r="E49" s="5"/>
      <c r="F49" s="5"/>
      <c r="G49" s="5"/>
      <c r="H49" s="5"/>
      <c r="I49" s="5"/>
      <c r="J49" s="5"/>
      <c r="K49" s="5"/>
      <c r="L49" s="5"/>
      <c r="M49" s="5"/>
      <c r="N49" s="5"/>
      <c r="O49" s="5"/>
      <c r="P49" s="5"/>
    </row>
    <row r="50" spans="1:16" s="4" customFormat="1" ht="53.25" customHeight="1" thickBot="1" x14ac:dyDescent="0.25">
      <c r="A50" s="66"/>
      <c r="B50" s="6"/>
      <c r="C50" s="309" t="str">
        <f>"Precio de compra para generar un "&amp;TEXT(B51, "0%")&amp;" anual"</f>
        <v>Precio de compra para generar un 15% anual</v>
      </c>
      <c r="D50" s="309"/>
      <c r="E50" s="309"/>
      <c r="F50" s="309" t="s">
        <v>209</v>
      </c>
      <c r="G50" s="309"/>
      <c r="H50" s="5"/>
      <c r="I50" s="5"/>
      <c r="J50" s="5"/>
      <c r="K50" s="5"/>
      <c r="L50" s="5"/>
      <c r="M50" s="5"/>
      <c r="N50" s="5"/>
      <c r="O50" s="5"/>
      <c r="P50" s="5"/>
    </row>
    <row r="51" spans="1:16" ht="25" customHeight="1" thickTop="1" thickBot="1" x14ac:dyDescent="0.25">
      <c r="A51" s="253" t="s">
        <v>210</v>
      </c>
      <c r="B51" s="251">
        <v>0.15</v>
      </c>
      <c r="C51" s="313" t="str">
        <f>IFERROR(F29/((1+B51)^5),"")</f>
        <v/>
      </c>
      <c r="D51" s="314"/>
      <c r="E51" s="314"/>
      <c r="F51" s="310" t="str">
        <f>IFERROR((C51-B19)/B19,"")</f>
        <v/>
      </c>
      <c r="G51" s="311"/>
    </row>
    <row r="52" spans="1:16" ht="16" thickTop="1" x14ac:dyDescent="0.2"/>
  </sheetData>
  <mergeCells count="8">
    <mergeCell ref="O1:P1"/>
    <mergeCell ref="E23:G24"/>
    <mergeCell ref="R4:R6"/>
    <mergeCell ref="F50:G50"/>
    <mergeCell ref="F51:G51"/>
    <mergeCell ref="H27:J27"/>
    <mergeCell ref="C50:E50"/>
    <mergeCell ref="C51:E51"/>
  </mergeCells>
  <conditionalFormatting sqref="F51:G51">
    <cfRule type="cellIs" dxfId="7" priority="1" operator="greaterThan">
      <formula>0</formula>
    </cfRule>
    <cfRule type="cellIs" dxfId="6" priority="2" operator="lessThan">
      <formula>0</formula>
    </cfRule>
  </conditionalFormatting>
  <conditionalFormatting sqref="K28:K32">
    <cfRule type="cellIs" dxfId="5" priority="3" operator="greaterThan">
      <formula>0.15</formula>
    </cfRule>
    <cfRule type="cellIs" dxfId="4" priority="4" operator="between">
      <formula>0</formula>
      <formula>0.15</formula>
    </cfRule>
    <cfRule type="cellIs" dxfId="3" priority="5" operator="between">
      <formula>-1</formula>
      <formula>0</formula>
    </cfRule>
  </conditionalFormatting>
  <pageMargins left="0.7" right="0.7" top="0.75" bottom="0.75" header="0.3" footer="0.3"/>
  <pageSetup paperSize="9"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6D559-2DC7-4A02-B3CD-8F2B3A304BDE}">
  <sheetPr codeName="Hoja6"/>
  <dimension ref="A1:T37"/>
  <sheetViews>
    <sheetView showGridLines="0" zoomScale="85" zoomScaleNormal="85" workbookViewId="0"/>
  </sheetViews>
  <sheetFormatPr baseColWidth="10" defaultColWidth="9.1640625" defaultRowHeight="16" x14ac:dyDescent="0.2"/>
  <cols>
    <col min="1" max="1" width="56.83203125" style="4" customWidth="1"/>
    <col min="2" max="16" width="14.6640625" style="5" customWidth="1"/>
    <col min="17" max="17" width="17" style="5" customWidth="1"/>
    <col min="18" max="18" width="19" style="4" customWidth="1"/>
    <col min="19" max="20" width="15.5" style="4" customWidth="1"/>
    <col min="21" max="16384" width="9.1640625" style="4"/>
  </cols>
  <sheetData>
    <row r="1" spans="1:17" ht="100" customHeight="1" x14ac:dyDescent="0.2">
      <c r="A1" s="235" t="str">
        <f>IF('1.IS'!A1&lt;&gt;"",'1.IS'!A1,"")</f>
        <v/>
      </c>
      <c r="B1" s="17" t="s">
        <v>175</v>
      </c>
      <c r="G1"/>
    </row>
    <row r="2" spans="1:17" ht="40" customHeight="1" x14ac:dyDescent="0.2">
      <c r="A2" s="102" t="s">
        <v>165</v>
      </c>
      <c r="B2" s="55" t="str">
        <f>'1.IS'!B$2</f>
        <v/>
      </c>
      <c r="C2" s="55" t="str">
        <f>'1.IS'!C$2</f>
        <v/>
      </c>
      <c r="D2" s="55" t="str">
        <f>'1.IS'!D$2</f>
        <v/>
      </c>
      <c r="E2" s="55" t="str">
        <f>'1.IS'!E$2</f>
        <v/>
      </c>
      <c r="F2" s="55" t="str">
        <f>'1.IS'!F$2</f>
        <v/>
      </c>
      <c r="G2" s="55" t="str">
        <f>'1.IS'!G$2</f>
        <v/>
      </c>
      <c r="H2" s="55" t="str">
        <f>'1.IS'!H$2</f>
        <v/>
      </c>
      <c r="I2" s="55" t="str">
        <f>'1.IS'!I$2</f>
        <v/>
      </c>
      <c r="J2" s="55" t="str">
        <f>'1.IS'!J$2</f>
        <v/>
      </c>
      <c r="K2" s="55" t="str">
        <f>'1.IS'!K$2</f>
        <v/>
      </c>
      <c r="L2" s="4"/>
      <c r="M2" s="4"/>
      <c r="N2" s="10"/>
      <c r="O2" s="10"/>
      <c r="P2" s="10"/>
      <c r="Q2" s="100"/>
    </row>
    <row r="3" spans="1:17" ht="25" customHeight="1" x14ac:dyDescent="0.2">
      <c r="A3" s="226" t="s">
        <v>171</v>
      </c>
      <c r="B3" s="200"/>
      <c r="C3" s="186"/>
      <c r="D3" s="186"/>
      <c r="E3" s="186"/>
      <c r="F3" s="186"/>
      <c r="G3" s="186"/>
      <c r="H3" s="186"/>
      <c r="I3" s="186"/>
      <c r="J3" s="186"/>
      <c r="K3" s="187"/>
      <c r="L3" s="4"/>
      <c r="M3" s="4"/>
      <c r="N3" s="10"/>
      <c r="O3" s="10"/>
      <c r="P3" s="10"/>
      <c r="Q3" s="100"/>
    </row>
    <row r="4" spans="1:17" ht="25" customHeight="1" x14ac:dyDescent="0.2">
      <c r="A4" s="220" t="s">
        <v>159</v>
      </c>
      <c r="B4" s="123">
        <f>IFERROR(ABS(VLOOKUP("Asset Writedown*",'7.TIKR_IS'!$A:$K,COLUMN('2.FCF'!B7),FALSE)/'1.IS'!B3),0%)+IFERROR(ABS(VLOOKUP("Impairment of Goodwill*",'7.TIKR_IS'!$A:$K,COLUMN('2.FCF'!B7),FALSE)/'1.IS'!B3),0%)</f>
        <v>0</v>
      </c>
      <c r="C4" s="22">
        <f>IFERROR(ABS(VLOOKUP("Asset Writedown*",'7.TIKR_IS'!$A:$K,COLUMN('2.FCF'!C7),FALSE)/'1.IS'!C3),0%)+IFERROR(ABS(VLOOKUP("Impairment of Goodwill*",'7.TIKR_IS'!$A:$K,COLUMN('2.FCF'!C7),FALSE)/'1.IS'!C3),0%)</f>
        <v>0</v>
      </c>
      <c r="D4" s="22">
        <f>IFERROR(ABS(VLOOKUP("Asset Writedown*",'7.TIKR_IS'!$A:$K,COLUMN('2.FCF'!D7),FALSE)/'1.IS'!D3),0%)+IFERROR(ABS(VLOOKUP("Impairment of Goodwill*",'7.TIKR_IS'!$A:$K,COLUMN('2.FCF'!D7),FALSE)/'1.IS'!D3),0%)</f>
        <v>0</v>
      </c>
      <c r="E4" s="22">
        <f>IFERROR(ABS(VLOOKUP("Asset Writedown*",'7.TIKR_IS'!$A:$K,COLUMN('2.FCF'!E7),FALSE)/'1.IS'!E3),0%)+IFERROR(ABS(VLOOKUP("Impairment of Goodwill*",'7.TIKR_IS'!$A:$K,COLUMN('2.FCF'!E7),FALSE)/'1.IS'!E3),0%)</f>
        <v>0</v>
      </c>
      <c r="F4" s="22">
        <f>IFERROR(ABS(VLOOKUP("Asset Writedown*",'7.TIKR_IS'!$A:$K,COLUMN('2.FCF'!F7),FALSE)/'1.IS'!F3),0%)+IFERROR(ABS(VLOOKUP("Impairment of Goodwill*",'7.TIKR_IS'!$A:$K,COLUMN('2.FCF'!F7),FALSE)/'1.IS'!F3),0%)</f>
        <v>0</v>
      </c>
      <c r="G4" s="22">
        <f>IFERROR(ABS(VLOOKUP("Asset Writedown*",'7.TIKR_IS'!$A:$K,COLUMN('2.FCF'!G7),FALSE)/'1.IS'!G3),0%)+IFERROR(ABS(VLOOKUP("Impairment of Goodwill*",'7.TIKR_IS'!$A:$K,COLUMN('2.FCF'!G7),FALSE)/'1.IS'!G3),0%)</f>
        <v>0</v>
      </c>
      <c r="H4" s="22">
        <f>IFERROR(ABS(VLOOKUP("Asset Writedown*",'7.TIKR_IS'!$A:$K,COLUMN('2.FCF'!H7),FALSE)/'1.IS'!H3),0%)+IFERROR(ABS(VLOOKUP("Impairment of Goodwill*",'7.TIKR_IS'!$A:$K,COLUMN('2.FCF'!H7),FALSE)/'1.IS'!H3),0%)</f>
        <v>0</v>
      </c>
      <c r="I4" s="22">
        <f>IFERROR(ABS(VLOOKUP("Asset Writedown*",'7.TIKR_IS'!$A:$K,COLUMN('2.FCF'!I7),FALSE)/'1.IS'!I3),0%)+IFERROR(ABS(VLOOKUP("Impairment of Goodwill*",'7.TIKR_IS'!$A:$K,COLUMN('2.FCF'!I7),FALSE)/'1.IS'!I3),0%)</f>
        <v>0</v>
      </c>
      <c r="J4" s="22">
        <f>IFERROR(ABS(VLOOKUP("Asset Writedown*",'7.TIKR_IS'!$A:$K,COLUMN('2.FCF'!J7),FALSE)/'1.IS'!J3),0%)+IFERROR(ABS(VLOOKUP("Impairment of Goodwill*",'7.TIKR_IS'!$A:$K,COLUMN('2.FCF'!J7),FALSE)/'1.IS'!J3),0%)</f>
        <v>0</v>
      </c>
      <c r="K4" s="129">
        <f>IFERROR(ABS(VLOOKUP("Asset Writedown*",'7.TIKR_IS'!$A:$K,COLUMN('2.FCF'!K7),FALSE)/'1.IS'!K3),0%)+IFERROR(ABS(VLOOKUP("Impairment of Goodwill*",'7.TIKR_IS'!$A:$K,COLUMN('2.FCF'!K7),FALSE)/'1.IS'!K3),0%)</f>
        <v>0</v>
      </c>
      <c r="L4" s="4"/>
      <c r="M4" s="4"/>
      <c r="N4" s="6"/>
      <c r="O4" s="10"/>
      <c r="P4" s="10"/>
      <c r="Q4" s="100"/>
    </row>
    <row r="5" spans="1:17" ht="25" customHeight="1" x14ac:dyDescent="0.2">
      <c r="A5" s="220" t="s">
        <v>160</v>
      </c>
      <c r="B5" s="123">
        <f>IFERROR(VLOOKUP("Divestitures*",'9.TIKR_CF'!$A:$K,COLUMN('2.FCF'!B2),FALSE)/'1.IS'!B3,0%)</f>
        <v>0</v>
      </c>
      <c r="C5" s="22">
        <f>IFERROR(VLOOKUP("Divestitures*",'9.TIKR_CF'!$A:$K,COLUMN('2.FCF'!C2),FALSE)/'1.IS'!C3,0%)</f>
        <v>0</v>
      </c>
      <c r="D5" s="22">
        <f>IFERROR(VLOOKUP("Divestitures*",'9.TIKR_CF'!$A:$K,COLUMN('2.FCF'!D2),FALSE)/'1.IS'!D3,0%)</f>
        <v>0</v>
      </c>
      <c r="E5" s="22">
        <f>IFERROR(VLOOKUP("Divestitures*",'9.TIKR_CF'!$A:$K,COLUMN('2.FCF'!E2),FALSE)/'1.IS'!E3,0%)</f>
        <v>0</v>
      </c>
      <c r="F5" s="22">
        <f>IFERROR(VLOOKUP("Divestitures*",'9.TIKR_CF'!$A:$K,COLUMN('2.FCF'!F2),FALSE)/'1.IS'!F3,0%)</f>
        <v>0</v>
      </c>
      <c r="G5" s="22">
        <f>IFERROR(VLOOKUP("Divestitures*",'9.TIKR_CF'!$A:$K,COLUMN('2.FCF'!G2),FALSE)/'1.IS'!G3,0%)</f>
        <v>0</v>
      </c>
      <c r="H5" s="22">
        <f>IFERROR(VLOOKUP("Divestitures*",'9.TIKR_CF'!$A:$K,COLUMN('2.FCF'!H2),FALSE)/'1.IS'!H3,0%)</f>
        <v>0</v>
      </c>
      <c r="I5" s="22">
        <f>IFERROR(VLOOKUP("Divestitures*",'9.TIKR_CF'!$A:$K,COLUMN('2.FCF'!I2),FALSE)/'1.IS'!I3,0%)</f>
        <v>0</v>
      </c>
      <c r="J5" s="22">
        <f>IFERROR(VLOOKUP("Divestitures*",'9.TIKR_CF'!$A:$K,COLUMN('2.FCF'!J2),FALSE)/'1.IS'!J3,0%)</f>
        <v>0</v>
      </c>
      <c r="K5" s="129">
        <f>IFERROR(VLOOKUP("Divestitures*",'9.TIKR_CF'!$A:$K,COLUMN('2.FCF'!K2),FALSE)/'1.IS'!K3,0%)</f>
        <v>0</v>
      </c>
      <c r="L5" s="4"/>
      <c r="M5" s="4"/>
      <c r="N5" s="6"/>
      <c r="O5" s="10"/>
      <c r="P5" s="10"/>
      <c r="Q5" s="100"/>
    </row>
    <row r="6" spans="1:17" ht="25" customHeight="1" x14ac:dyDescent="0.2">
      <c r="A6" s="220" t="s">
        <v>178</v>
      </c>
      <c r="B6" s="123">
        <f>IFERROR(VLOOKUP("Stock-Based Compensation*",'9.TIKR_CF'!$A:$K,COLUMN('2.FCF'!B2),FALSE)/'1.IS'!B3,0%)</f>
        <v>0</v>
      </c>
      <c r="C6" s="22">
        <f>IFERROR(VLOOKUP("Stock-Based Compensation*",'9.TIKR_CF'!$A:$K,COLUMN('2.FCF'!C2),FALSE)/'1.IS'!C3,0%)</f>
        <v>0</v>
      </c>
      <c r="D6" s="22">
        <f>IFERROR(VLOOKUP("Stock-Based Compensation*",'9.TIKR_CF'!$A:$K,COLUMN('2.FCF'!D2),FALSE)/'1.IS'!D3,0%)</f>
        <v>0</v>
      </c>
      <c r="E6" s="22">
        <f>IFERROR(VLOOKUP("Stock-Based Compensation*",'9.TIKR_CF'!$A:$K,COLUMN('2.FCF'!E2),FALSE)/'1.IS'!E3,0%)</f>
        <v>0</v>
      </c>
      <c r="F6" s="22">
        <f>IFERROR(VLOOKUP("Stock-Based Compensation*",'9.TIKR_CF'!$A:$K,COLUMN('2.FCF'!F2),FALSE)/'1.IS'!F3,0%)</f>
        <v>0</v>
      </c>
      <c r="G6" s="22">
        <f>IFERROR(VLOOKUP("Stock-Based Compensation*",'9.TIKR_CF'!$A:$K,COLUMN('2.FCF'!G2),FALSE)/'1.IS'!G3,0%)</f>
        <v>0</v>
      </c>
      <c r="H6" s="22">
        <f>IFERROR(VLOOKUP("Stock-Based Compensation*",'9.TIKR_CF'!$A:$K,COLUMN('2.FCF'!H2),FALSE)/'1.IS'!H3,0%)</f>
        <v>0</v>
      </c>
      <c r="I6" s="22">
        <f>IFERROR(VLOOKUP("Stock-Based Compensation*",'9.TIKR_CF'!$A:$K,COLUMN('2.FCF'!I2),FALSE)/'1.IS'!I3,0%)</f>
        <v>0</v>
      </c>
      <c r="J6" s="22">
        <f>IFERROR(VLOOKUP("Stock-Based Compensation*",'9.TIKR_CF'!$A:$K,COLUMN('2.FCF'!J2),FALSE)/'1.IS'!J3,0%)</f>
        <v>0</v>
      </c>
      <c r="K6" s="129">
        <f>IFERROR(VLOOKUP("Stock-Based Compensation*",'9.TIKR_CF'!$A:$K,COLUMN('2.FCF'!K2),FALSE)/'1.IS'!K3,0%)</f>
        <v>0</v>
      </c>
      <c r="L6" s="4"/>
      <c r="M6" s="4"/>
      <c r="N6" s="6"/>
      <c r="O6" s="10"/>
      <c r="P6" s="10"/>
      <c r="Q6" s="100"/>
    </row>
    <row r="7" spans="1:17" ht="25" customHeight="1" x14ac:dyDescent="0.2">
      <c r="A7" s="220" t="s">
        <v>161</v>
      </c>
      <c r="B7" s="123">
        <f>IFERROR(VLOOKUP("Issuance of Common Stock*",'9.TIKR_CF'!$A:$K,COLUMN('2.FCF'!B2),FALSE)/'1.IS'!B3,0%)</f>
        <v>0</v>
      </c>
      <c r="C7" s="22">
        <f>IFERROR(VLOOKUP("Issuance of Common Stock*",'9.TIKR_CF'!$A:$K,COLUMN('2.FCF'!C2),FALSE)/'1.IS'!C3,0%)</f>
        <v>0</v>
      </c>
      <c r="D7" s="22">
        <f>IFERROR(VLOOKUP("Issuance of Common Stock*",'9.TIKR_CF'!$A:$K,COLUMN('2.FCF'!D2),FALSE)/'1.IS'!D3,0%)</f>
        <v>0</v>
      </c>
      <c r="E7" s="22">
        <f>IFERROR(VLOOKUP("Issuance of Common Stock*",'9.TIKR_CF'!$A:$K,COLUMN('2.FCF'!E2),FALSE)/'1.IS'!E3,0%)</f>
        <v>0</v>
      </c>
      <c r="F7" s="22">
        <f>IFERROR(VLOOKUP("Issuance of Common Stock*",'9.TIKR_CF'!$A:$K,COLUMN('2.FCF'!F2),FALSE)/'1.IS'!F3,0%)</f>
        <v>0</v>
      </c>
      <c r="G7" s="22">
        <f>IFERROR(VLOOKUP("Issuance of Common Stock*",'9.TIKR_CF'!$A:$K,COLUMN('2.FCF'!G2),FALSE)/'1.IS'!G3,0%)</f>
        <v>0</v>
      </c>
      <c r="H7" s="22">
        <f>IFERROR(VLOOKUP("Issuance of Common Stock*",'9.TIKR_CF'!$A:$K,COLUMN('2.FCF'!H2),FALSE)/'1.IS'!H3,0%)</f>
        <v>0</v>
      </c>
      <c r="I7" s="22">
        <f>IFERROR(VLOOKUP("Issuance of Common Stock*",'9.TIKR_CF'!$A:$K,COLUMN('2.FCF'!I2),FALSE)/'1.IS'!I3,0%)</f>
        <v>0</v>
      </c>
      <c r="J7" s="22">
        <f>IFERROR(VLOOKUP("Issuance of Common Stock*",'9.TIKR_CF'!$A:$K,COLUMN('2.FCF'!J2),FALSE)/'1.IS'!J3,0%)</f>
        <v>0</v>
      </c>
      <c r="K7" s="129">
        <f>IFERROR(VLOOKUP("Issuance of Common Stock*",'9.TIKR_CF'!$A:$K,COLUMN('2.FCF'!K2),FALSE)/'1.IS'!K3,0%)</f>
        <v>0</v>
      </c>
      <c r="L7" s="4"/>
      <c r="M7" s="4"/>
      <c r="N7" s="6"/>
      <c r="O7" s="10"/>
      <c r="P7" s="10"/>
      <c r="Q7" s="100"/>
    </row>
    <row r="8" spans="1:17" ht="25" customHeight="1" x14ac:dyDescent="0.2">
      <c r="A8" s="221" t="s">
        <v>220</v>
      </c>
      <c r="B8" s="141">
        <f>IF(TIKR_Cálculos!B78&lt;0,ABS(TIKR_Cálculos!B78)/'1.IS'!B3,0)</f>
        <v>0</v>
      </c>
      <c r="C8" s="138">
        <f>IF(TIKR_Cálculos!C78&lt;0,ABS(TIKR_Cálculos!C78)/'1.IS'!C3,0)</f>
        <v>0</v>
      </c>
      <c r="D8" s="138">
        <f>IF(TIKR_Cálculos!D78&lt;0,ABS(TIKR_Cálculos!D78)/'1.IS'!D3,0)</f>
        <v>0</v>
      </c>
      <c r="E8" s="138">
        <f>IF(TIKR_Cálculos!E78&lt;0,ABS(TIKR_Cálculos!E78)/'1.IS'!E3,0)</f>
        <v>0</v>
      </c>
      <c r="F8" s="138">
        <f>IF(TIKR_Cálculos!F78&lt;0,ABS(TIKR_Cálculos!F78)/'1.IS'!F3,0)</f>
        <v>0</v>
      </c>
      <c r="G8" s="138">
        <f>IF(TIKR_Cálculos!G78&lt;0,ABS(TIKR_Cálculos!G78)/'1.IS'!G3,0)</f>
        <v>0</v>
      </c>
      <c r="H8" s="138">
        <f>IF(TIKR_Cálculos!H78&lt;0,ABS(TIKR_Cálculos!H78)/'1.IS'!H3,0)</f>
        <v>0</v>
      </c>
      <c r="I8" s="138">
        <f>IF(TIKR_Cálculos!I78&lt;0,ABS(TIKR_Cálculos!I78)/'1.IS'!I3,0)</f>
        <v>0</v>
      </c>
      <c r="J8" s="138">
        <f>IF(TIKR_Cálculos!J78&lt;0,ABS(TIKR_Cálculos!J78)/'1.IS'!J3,0)</f>
        <v>0</v>
      </c>
      <c r="K8" s="188">
        <f>IF(TIKR_Cálculos!K78&lt;0,ABS(TIKR_Cálculos!K78)/'1.IS'!K3,0)</f>
        <v>0</v>
      </c>
      <c r="L8" s="4"/>
      <c r="M8" s="4"/>
      <c r="N8" s="6"/>
    </row>
    <row r="9" spans="1:17" ht="25" customHeight="1" x14ac:dyDescent="0.2">
      <c r="A9" s="165"/>
      <c r="B9" s="100"/>
      <c r="C9" s="100"/>
      <c r="D9" s="100"/>
      <c r="E9" s="100"/>
      <c r="F9" s="100"/>
      <c r="G9" s="100"/>
      <c r="H9" s="100"/>
      <c r="I9" s="100"/>
      <c r="J9" s="100"/>
      <c r="K9" s="100"/>
      <c r="L9" s="100"/>
      <c r="M9" s="100"/>
    </row>
    <row r="10" spans="1:17" ht="40" customHeight="1" x14ac:dyDescent="0.2">
      <c r="A10" s="102" t="s">
        <v>166</v>
      </c>
      <c r="B10" s="55" t="s">
        <v>134</v>
      </c>
      <c r="C10" s="219"/>
      <c r="D10" s="219"/>
      <c r="E10" s="219"/>
      <c r="F10" s="219"/>
      <c r="G10" s="219"/>
      <c r="H10" s="219"/>
      <c r="I10" s="219"/>
      <c r="J10" s="219"/>
      <c r="K10" s="219"/>
      <c r="L10" s="4"/>
      <c r="M10" s="4"/>
      <c r="N10" s="10"/>
      <c r="O10" s="10"/>
      <c r="P10" s="10"/>
      <c r="Q10" s="100"/>
    </row>
    <row r="11" spans="1:17" ht="25" customHeight="1" x14ac:dyDescent="0.2">
      <c r="A11" s="226" t="s">
        <v>167</v>
      </c>
      <c r="B11" s="224"/>
      <c r="C11" s="61"/>
      <c r="D11" s="61"/>
      <c r="E11" s="61"/>
      <c r="F11" s="61"/>
      <c r="G11" s="61"/>
      <c r="H11" s="61"/>
      <c r="I11" s="61"/>
      <c r="J11" s="61"/>
      <c r="K11" s="61"/>
      <c r="L11" s="201"/>
      <c r="M11" s="100"/>
      <c r="N11" s="6"/>
    </row>
    <row r="12" spans="1:17" ht="25" customHeight="1" x14ac:dyDescent="0.2">
      <c r="A12" s="220" t="s">
        <v>168</v>
      </c>
      <c r="B12" s="222">
        <f>TIKR_Cálculos!L71</f>
        <v>0</v>
      </c>
      <c r="C12" s="61"/>
      <c r="D12" s="61"/>
      <c r="E12" s="61"/>
      <c r="F12" s="61"/>
      <c r="G12" s="61"/>
      <c r="H12" s="61"/>
      <c r="I12" s="61"/>
      <c r="J12" s="61"/>
      <c r="K12" s="61"/>
      <c r="L12" s="201"/>
      <c r="M12" s="100"/>
      <c r="N12" s="6"/>
    </row>
    <row r="13" spans="1:17" ht="25" customHeight="1" x14ac:dyDescent="0.2">
      <c r="A13" s="220" t="s">
        <v>169</v>
      </c>
      <c r="B13" s="222">
        <f>TIKR_Cálculos!L72</f>
        <v>0</v>
      </c>
    </row>
    <row r="14" spans="1:17" ht="25" customHeight="1" x14ac:dyDescent="0.2">
      <c r="A14" s="220" t="s">
        <v>170</v>
      </c>
      <c r="B14" s="222">
        <f>TIKR_Cálculos!L80</f>
        <v>0</v>
      </c>
    </row>
    <row r="15" spans="1:17" ht="25" customHeight="1" x14ac:dyDescent="0.2">
      <c r="A15" s="220" t="s">
        <v>172</v>
      </c>
      <c r="B15" s="222">
        <f>TIKR_Cálculos!L81</f>
        <v>0</v>
      </c>
    </row>
    <row r="16" spans="1:17" ht="25" customHeight="1" x14ac:dyDescent="0.2">
      <c r="A16" s="221" t="s">
        <v>174</v>
      </c>
      <c r="B16" s="225">
        <f>TIKR_Cálculos!L82</f>
        <v>0</v>
      </c>
    </row>
    <row r="17" spans="1:20" ht="25" customHeight="1" x14ac:dyDescent="0.2"/>
    <row r="18" spans="1:20" ht="25" customHeight="1" x14ac:dyDescent="0.2">
      <c r="B18" s="227"/>
      <c r="C18" s="227"/>
      <c r="D18" s="227"/>
      <c r="E18" s="227"/>
      <c r="F18" s="227"/>
      <c r="G18" s="227"/>
      <c r="H18" s="227"/>
      <c r="I18" s="227"/>
      <c r="J18" s="227"/>
      <c r="K18" s="227"/>
    </row>
    <row r="19" spans="1:20" ht="25" customHeight="1" x14ac:dyDescent="0.2"/>
    <row r="20" spans="1:20" s="5" customFormat="1" ht="25" customHeight="1" x14ac:dyDescent="0.2">
      <c r="A20" s="4"/>
      <c r="R20" s="4"/>
      <c r="S20" s="4"/>
      <c r="T20" s="4"/>
    </row>
    <row r="21" spans="1:20" s="5" customFormat="1" ht="25" customHeight="1" x14ac:dyDescent="0.2">
      <c r="A21" s="4"/>
      <c r="R21" s="4"/>
      <c r="S21" s="4"/>
      <c r="T21" s="4"/>
    </row>
    <row r="22" spans="1:20" s="5" customFormat="1" ht="25" customHeight="1" x14ac:dyDescent="0.2">
      <c r="A22" s="4"/>
      <c r="R22" s="4"/>
      <c r="S22" s="4"/>
      <c r="T22" s="4"/>
    </row>
    <row r="23" spans="1:20" s="5" customFormat="1" ht="25" customHeight="1" x14ac:dyDescent="0.2">
      <c r="A23" s="4"/>
      <c r="R23" s="4"/>
      <c r="S23" s="4"/>
      <c r="T23" s="4"/>
    </row>
    <row r="24" spans="1:20" s="5" customFormat="1" ht="25" customHeight="1" x14ac:dyDescent="0.2">
      <c r="A24" s="4"/>
      <c r="R24" s="4"/>
      <c r="S24" s="4"/>
      <c r="T24" s="4"/>
    </row>
    <row r="25" spans="1:20" s="5" customFormat="1" ht="25" customHeight="1" x14ac:dyDescent="0.2">
      <c r="A25" s="4"/>
      <c r="R25" s="4"/>
      <c r="S25" s="4"/>
      <c r="T25" s="4"/>
    </row>
    <row r="26" spans="1:20" s="5" customFormat="1" ht="25" customHeight="1" x14ac:dyDescent="0.2">
      <c r="A26" s="4"/>
      <c r="R26" s="4"/>
      <c r="S26" s="4"/>
      <c r="T26" s="4"/>
    </row>
    <row r="27" spans="1:20" s="5" customFormat="1" ht="25" customHeight="1" x14ac:dyDescent="0.2">
      <c r="A27" s="4"/>
      <c r="R27" s="4"/>
      <c r="S27" s="4"/>
      <c r="T27" s="4"/>
    </row>
    <row r="28" spans="1:20" s="5" customFormat="1" ht="25" customHeight="1" x14ac:dyDescent="0.2">
      <c r="A28" s="4"/>
      <c r="R28" s="4"/>
      <c r="S28" s="4"/>
      <c r="T28" s="4"/>
    </row>
    <row r="29" spans="1:20" s="5" customFormat="1" ht="25" customHeight="1" x14ac:dyDescent="0.2">
      <c r="A29" s="4"/>
      <c r="R29" s="4"/>
      <c r="S29" s="4"/>
      <c r="T29" s="4"/>
    </row>
    <row r="32" spans="1:20" s="5" customFormat="1" ht="17" x14ac:dyDescent="0.2">
      <c r="A32" s="4"/>
      <c r="L32" s="68"/>
      <c r="M32" s="68"/>
      <c r="R32" s="4"/>
      <c r="S32" s="4"/>
      <c r="T32" s="4"/>
    </row>
    <row r="33" spans="1:20" s="5" customFormat="1" ht="17" x14ac:dyDescent="0.2">
      <c r="A33" s="4"/>
      <c r="L33" s="201"/>
      <c r="M33" s="201"/>
      <c r="R33" s="4"/>
      <c r="S33" s="4"/>
      <c r="T33" s="4"/>
    </row>
    <row r="34" spans="1:20" s="5" customFormat="1" ht="17" x14ac:dyDescent="0.2">
      <c r="A34" s="4"/>
      <c r="L34" s="201"/>
      <c r="M34" s="201"/>
      <c r="R34" s="4"/>
      <c r="S34" s="4"/>
      <c r="T34" s="4"/>
    </row>
    <row r="35" spans="1:20" s="5" customFormat="1" ht="17" x14ac:dyDescent="0.2">
      <c r="A35" s="4"/>
      <c r="L35" s="201"/>
      <c r="M35" s="201"/>
      <c r="R35" s="4"/>
      <c r="S35" s="4"/>
      <c r="T35" s="4"/>
    </row>
    <row r="36" spans="1:20" s="5" customFormat="1" ht="17" x14ac:dyDescent="0.2">
      <c r="A36" s="4"/>
      <c r="L36" s="201"/>
      <c r="M36" s="201"/>
      <c r="R36" s="4"/>
      <c r="S36" s="4"/>
      <c r="T36" s="4"/>
    </row>
    <row r="37" spans="1:20" s="5" customFormat="1" ht="17" x14ac:dyDescent="0.2">
      <c r="A37" s="4"/>
      <c r="L37" s="201"/>
      <c r="M37" s="201"/>
      <c r="R37" s="4"/>
      <c r="S37" s="4"/>
      <c r="T37" s="4"/>
    </row>
  </sheetData>
  <conditionalFormatting sqref="B12:B16">
    <cfRule type="cellIs" dxfId="2" priority="2" operator="greaterThan">
      <formula>1</formula>
    </cfRule>
  </conditionalFormatting>
  <conditionalFormatting sqref="B3:K3">
    <cfRule type="cellIs" dxfId="1" priority="5" operator="greaterThan">
      <formula>0.01</formula>
    </cfRule>
  </conditionalFormatting>
  <conditionalFormatting sqref="B4:K8">
    <cfRule type="cellIs" dxfId="0" priority="1" operator="greaterThan">
      <formula>0.02</formula>
    </cfRule>
  </conditionalFormatting>
  <pageMargins left="0.7" right="0.7" top="0.75" bottom="0.75" header="0.3" footer="0.3"/>
  <pageSetup paperSize="9" orientation="portrait" horizontalDpi="1200" verticalDpi="1200"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78F2D-A912-4254-99DB-696E457A7EE4}">
  <sheetPr codeName="Hoja7"/>
  <dimension ref="A1:S86"/>
  <sheetViews>
    <sheetView showGridLines="0" zoomScaleNormal="100" workbookViewId="0"/>
  </sheetViews>
  <sheetFormatPr baseColWidth="10" defaultColWidth="0" defaultRowHeight="16" x14ac:dyDescent="0.2"/>
  <cols>
    <col min="1" max="1" width="41.83203125" style="4" bestFit="1" customWidth="1"/>
    <col min="2" max="7" width="10.6640625" style="5" customWidth="1"/>
    <col min="8" max="9" width="12.6640625" style="5" customWidth="1"/>
    <col min="10" max="19" width="11.5" style="4" customWidth="1"/>
    <col min="20" max="16384" width="11.5" style="4" hidden="1"/>
  </cols>
  <sheetData>
    <row r="1" spans="1:2" ht="65.25" customHeight="1" x14ac:dyDescent="0.2">
      <c r="A1" s="235" t="str">
        <f>IF('1.IS'!A1&lt;&gt;"",'1.IS'!A1,"")</f>
        <v/>
      </c>
      <c r="B1" s="17" t="s">
        <v>87</v>
      </c>
    </row>
    <row r="31" spans="2:2" ht="20" customHeight="1" x14ac:dyDescent="0.2"/>
    <row r="32" spans="2:2" s="6" customFormat="1" ht="20" customHeight="1" x14ac:dyDescent="0.2">
      <c r="B32" s="17"/>
    </row>
    <row r="33" s="6" customFormat="1" x14ac:dyDescent="0.2"/>
    <row r="34" s="6" customFormat="1" x14ac:dyDescent="0.2"/>
    <row r="35" s="6" customFormat="1" x14ac:dyDescent="0.2"/>
    <row r="36" s="6" customFormat="1" x14ac:dyDescent="0.2"/>
    <row r="37" s="6" customFormat="1" x14ac:dyDescent="0.2"/>
    <row r="38" s="6" customFormat="1" x14ac:dyDescent="0.2"/>
    <row r="39" s="6" customFormat="1" x14ac:dyDescent="0.2"/>
    <row r="40" s="6" customFormat="1" x14ac:dyDescent="0.2"/>
    <row r="41" s="6" customFormat="1" x14ac:dyDescent="0.2"/>
    <row r="42" s="6" customFormat="1" x14ac:dyDescent="0.2"/>
    <row r="43" s="6" customFormat="1" x14ac:dyDescent="0.2"/>
    <row r="44" s="6" customFormat="1" x14ac:dyDescent="0.2"/>
    <row r="45" s="6" customFormat="1" x14ac:dyDescent="0.2"/>
    <row r="46" s="6" customFormat="1" x14ac:dyDescent="0.2"/>
    <row r="47" s="6" customFormat="1" x14ac:dyDescent="0.2"/>
    <row r="48" s="6" customFormat="1" x14ac:dyDescent="0.2"/>
    <row r="49" spans="2:9" s="6" customFormat="1" x14ac:dyDescent="0.2"/>
    <row r="50" spans="2:9" s="6" customFormat="1" x14ac:dyDescent="0.2"/>
    <row r="51" spans="2:9" s="6" customFormat="1" x14ac:dyDescent="0.2"/>
    <row r="52" spans="2:9" s="6" customFormat="1" x14ac:dyDescent="0.2">
      <c r="B52" s="156"/>
      <c r="C52" s="156"/>
      <c r="D52" s="156"/>
      <c r="E52" s="156"/>
      <c r="F52" s="156"/>
      <c r="G52" s="156"/>
      <c r="H52" s="156"/>
      <c r="I52" s="7"/>
    </row>
    <row r="53" spans="2:9" s="6" customFormat="1" x14ac:dyDescent="0.2">
      <c r="B53" s="156"/>
      <c r="C53" s="156"/>
      <c r="D53" s="156"/>
      <c r="E53" s="156"/>
      <c r="F53" s="156"/>
      <c r="G53" s="156"/>
      <c r="H53" s="156"/>
      <c r="I53" s="7"/>
    </row>
    <row r="54" spans="2:9" s="6" customFormat="1" x14ac:dyDescent="0.2">
      <c r="B54" s="156"/>
      <c r="C54" s="156"/>
      <c r="D54" s="156"/>
      <c r="E54" s="156"/>
      <c r="F54" s="156"/>
      <c r="G54" s="156"/>
      <c r="H54" s="156"/>
      <c r="I54" s="7"/>
    </row>
    <row r="55" spans="2:9" s="6" customFormat="1" x14ac:dyDescent="0.2">
      <c r="B55" s="156"/>
      <c r="C55" s="156"/>
      <c r="D55" s="156"/>
      <c r="E55" s="156"/>
      <c r="F55" s="156"/>
      <c r="G55" s="156"/>
      <c r="H55" s="156"/>
      <c r="I55" s="7"/>
    </row>
    <row r="56" spans="2:9" s="6" customFormat="1" x14ac:dyDescent="0.2">
      <c r="B56" s="7"/>
      <c r="C56" s="7"/>
      <c r="D56" s="7"/>
      <c r="E56" s="7"/>
      <c r="F56" s="7"/>
      <c r="G56" s="7"/>
      <c r="H56" s="7"/>
      <c r="I56" s="7"/>
    </row>
    <row r="57" spans="2:9" s="6" customFormat="1" x14ac:dyDescent="0.2">
      <c r="B57" s="7"/>
      <c r="C57" s="7"/>
      <c r="D57" s="7"/>
      <c r="E57" s="7"/>
      <c r="F57" s="7"/>
      <c r="G57" s="7"/>
      <c r="H57" s="7"/>
      <c r="I57" s="7"/>
    </row>
    <row r="58" spans="2:9" s="6" customFormat="1" x14ac:dyDescent="0.2">
      <c r="B58" s="7"/>
      <c r="C58" s="7"/>
      <c r="D58" s="7"/>
      <c r="E58" s="7"/>
      <c r="F58" s="7"/>
      <c r="G58" s="7"/>
      <c r="H58" s="7"/>
      <c r="I58" s="7"/>
    </row>
    <row r="59" spans="2:9" s="6" customFormat="1" x14ac:dyDescent="0.2">
      <c r="B59" s="7"/>
      <c r="C59" s="7"/>
      <c r="D59" s="7"/>
      <c r="E59" s="7"/>
      <c r="F59" s="7"/>
      <c r="G59" s="7"/>
      <c r="H59" s="7"/>
      <c r="I59" s="7"/>
    </row>
    <row r="60" spans="2:9" s="6" customFormat="1" x14ac:dyDescent="0.2">
      <c r="B60" s="7"/>
      <c r="C60" s="7"/>
      <c r="D60" s="7"/>
      <c r="E60" s="7"/>
      <c r="F60" s="7"/>
      <c r="G60" s="7"/>
      <c r="H60" s="7"/>
      <c r="I60" s="7"/>
    </row>
    <row r="61" spans="2:9" s="6" customFormat="1" x14ac:dyDescent="0.2">
      <c r="B61" s="7"/>
      <c r="C61" s="7"/>
      <c r="D61" s="7"/>
      <c r="E61" s="7"/>
      <c r="F61" s="7"/>
      <c r="G61" s="7"/>
      <c r="H61" s="7"/>
      <c r="I61" s="7"/>
    </row>
    <row r="62" spans="2:9" s="6" customFormat="1" x14ac:dyDescent="0.2">
      <c r="B62" s="7"/>
      <c r="C62" s="7"/>
      <c r="D62" s="7"/>
      <c r="E62" s="7"/>
      <c r="F62" s="7"/>
      <c r="G62" s="7"/>
      <c r="H62" s="7"/>
      <c r="I62" s="7"/>
    </row>
    <row r="63" spans="2:9" s="6" customFormat="1" x14ac:dyDescent="0.2">
      <c r="B63" s="7"/>
      <c r="C63" s="7"/>
      <c r="D63" s="7"/>
      <c r="E63" s="7"/>
      <c r="F63" s="7"/>
      <c r="G63" s="7"/>
      <c r="H63" s="7"/>
      <c r="I63" s="7"/>
    </row>
    <row r="64" spans="2:9" s="6" customFormat="1" x14ac:dyDescent="0.2">
      <c r="B64" s="7"/>
      <c r="C64" s="7"/>
      <c r="D64" s="7"/>
      <c r="E64" s="7"/>
      <c r="F64" s="7"/>
      <c r="G64" s="7"/>
      <c r="H64" s="7"/>
      <c r="I64" s="7"/>
    </row>
    <row r="65" spans="2:9" s="6" customFormat="1" x14ac:dyDescent="0.2">
      <c r="B65" s="7"/>
      <c r="C65" s="7"/>
      <c r="D65" s="7"/>
      <c r="E65" s="7"/>
      <c r="F65" s="7"/>
      <c r="G65" s="7"/>
      <c r="H65" s="7"/>
      <c r="I65" s="7"/>
    </row>
    <row r="66" spans="2:9" s="6" customFormat="1" x14ac:dyDescent="0.2">
      <c r="B66" s="7"/>
      <c r="C66" s="7"/>
      <c r="D66" s="7"/>
      <c r="E66" s="7"/>
      <c r="F66" s="7"/>
      <c r="G66" s="7"/>
      <c r="H66" s="7"/>
      <c r="I66" s="7"/>
    </row>
    <row r="67" spans="2:9" s="6" customFormat="1" x14ac:dyDescent="0.2">
      <c r="B67" s="7"/>
      <c r="C67" s="7"/>
      <c r="D67" s="7"/>
      <c r="E67" s="7"/>
      <c r="F67" s="7"/>
      <c r="G67" s="7"/>
      <c r="H67" s="7"/>
      <c r="I67" s="7"/>
    </row>
    <row r="68" spans="2:9" s="6" customFormat="1" x14ac:dyDescent="0.2">
      <c r="B68" s="7"/>
      <c r="C68" s="7"/>
      <c r="D68" s="7"/>
      <c r="E68" s="7"/>
      <c r="F68" s="7"/>
      <c r="G68" s="7"/>
      <c r="H68" s="7"/>
      <c r="I68" s="7"/>
    </row>
    <row r="69" spans="2:9" s="6" customFormat="1" x14ac:dyDescent="0.2">
      <c r="B69" s="7"/>
      <c r="C69" s="7"/>
      <c r="D69" s="7"/>
      <c r="E69" s="7"/>
      <c r="F69" s="7"/>
      <c r="G69" s="7"/>
      <c r="H69" s="7"/>
      <c r="I69" s="7"/>
    </row>
    <row r="70" spans="2:9" s="6" customFormat="1" x14ac:dyDescent="0.2">
      <c r="B70" s="7"/>
      <c r="C70" s="7"/>
      <c r="D70" s="7"/>
      <c r="E70" s="7"/>
      <c r="F70" s="7"/>
      <c r="G70" s="7"/>
      <c r="H70" s="7"/>
      <c r="I70" s="7"/>
    </row>
    <row r="71" spans="2:9" s="6" customFormat="1" x14ac:dyDescent="0.2">
      <c r="B71" s="7"/>
      <c r="C71" s="7"/>
      <c r="D71" s="7"/>
      <c r="E71" s="7"/>
      <c r="F71" s="7"/>
      <c r="G71" s="7"/>
      <c r="H71" s="7"/>
      <c r="I71" s="7"/>
    </row>
    <row r="72" spans="2:9" s="6" customFormat="1" x14ac:dyDescent="0.2">
      <c r="B72" s="7"/>
      <c r="C72" s="7"/>
      <c r="D72" s="7"/>
      <c r="E72" s="7"/>
      <c r="F72" s="7"/>
      <c r="G72" s="7"/>
      <c r="H72" s="7"/>
      <c r="I72" s="7"/>
    </row>
    <row r="73" spans="2:9" s="6" customFormat="1" x14ac:dyDescent="0.2">
      <c r="B73" s="7"/>
      <c r="C73" s="7"/>
      <c r="D73" s="7"/>
      <c r="E73" s="7"/>
      <c r="F73" s="7"/>
      <c r="G73" s="7"/>
      <c r="H73" s="7"/>
      <c r="I73" s="7"/>
    </row>
    <row r="74" spans="2:9" s="6" customFormat="1" x14ac:dyDescent="0.2">
      <c r="B74" s="7"/>
      <c r="C74" s="7"/>
      <c r="D74" s="7"/>
      <c r="E74" s="7"/>
      <c r="F74" s="7"/>
      <c r="G74" s="7"/>
      <c r="H74" s="7"/>
      <c r="I74" s="7"/>
    </row>
    <row r="75" spans="2:9" s="6" customFormat="1" x14ac:dyDescent="0.2">
      <c r="B75" s="7"/>
      <c r="C75" s="7"/>
      <c r="D75" s="7"/>
      <c r="E75" s="7"/>
      <c r="F75" s="7"/>
      <c r="G75" s="7"/>
      <c r="H75" s="7"/>
      <c r="I75" s="7"/>
    </row>
    <row r="76" spans="2:9" s="6" customFormat="1" x14ac:dyDescent="0.2">
      <c r="B76" s="7"/>
      <c r="C76" s="7"/>
      <c r="D76" s="7"/>
      <c r="E76" s="7"/>
      <c r="F76" s="7"/>
      <c r="G76" s="7"/>
      <c r="H76" s="7"/>
      <c r="I76" s="7"/>
    </row>
    <row r="77" spans="2:9" s="6" customFormat="1" x14ac:dyDescent="0.2">
      <c r="B77" s="7"/>
      <c r="C77" s="7"/>
      <c r="D77" s="7"/>
      <c r="E77" s="7"/>
      <c r="F77" s="7"/>
      <c r="G77" s="7"/>
      <c r="H77" s="7"/>
      <c r="I77" s="7"/>
    </row>
    <row r="78" spans="2:9" s="6" customFormat="1" x14ac:dyDescent="0.2">
      <c r="B78" s="7"/>
      <c r="C78" s="7"/>
      <c r="D78" s="7"/>
      <c r="E78" s="7"/>
      <c r="F78" s="7"/>
      <c r="G78" s="7"/>
      <c r="H78" s="7"/>
      <c r="I78" s="7"/>
    </row>
    <row r="79" spans="2:9" s="6" customFormat="1" x14ac:dyDescent="0.2">
      <c r="B79" s="7"/>
      <c r="C79" s="7"/>
      <c r="D79" s="7"/>
      <c r="E79" s="7"/>
      <c r="F79" s="7"/>
      <c r="G79" s="7"/>
      <c r="H79" s="7"/>
      <c r="I79" s="7"/>
    </row>
    <row r="80" spans="2:9" s="6" customFormat="1" x14ac:dyDescent="0.2">
      <c r="B80" s="7"/>
      <c r="C80" s="7"/>
      <c r="D80" s="7"/>
      <c r="E80" s="7"/>
      <c r="F80" s="7"/>
      <c r="G80" s="7"/>
      <c r="H80" s="7"/>
      <c r="I80" s="7"/>
    </row>
    <row r="81" spans="2:9" s="6" customFormat="1" x14ac:dyDescent="0.2">
      <c r="B81" s="7"/>
      <c r="C81" s="7"/>
      <c r="D81" s="7"/>
      <c r="E81" s="7"/>
      <c r="F81" s="7"/>
      <c r="G81" s="7"/>
      <c r="H81" s="7"/>
      <c r="I81" s="7"/>
    </row>
    <row r="82" spans="2:9" s="6" customFormat="1" x14ac:dyDescent="0.2">
      <c r="B82" s="7"/>
      <c r="C82" s="7"/>
      <c r="D82" s="7"/>
      <c r="E82" s="7"/>
      <c r="F82" s="7"/>
      <c r="G82" s="7"/>
      <c r="H82" s="7"/>
      <c r="I82" s="7"/>
    </row>
    <row r="83" spans="2:9" s="6" customFormat="1" x14ac:dyDescent="0.2">
      <c r="B83" s="7"/>
      <c r="C83" s="7"/>
      <c r="D83" s="7"/>
      <c r="E83" s="7"/>
      <c r="F83" s="7"/>
      <c r="G83" s="7"/>
      <c r="H83" s="7"/>
      <c r="I83" s="7"/>
    </row>
    <row r="84" spans="2:9" s="6" customFormat="1" x14ac:dyDescent="0.2">
      <c r="B84" s="7"/>
      <c r="C84" s="7"/>
      <c r="D84" s="7"/>
      <c r="E84" s="7"/>
      <c r="F84" s="7"/>
      <c r="G84" s="7"/>
      <c r="H84" s="7"/>
      <c r="I84" s="7"/>
    </row>
    <row r="85" spans="2:9" s="6" customFormat="1" x14ac:dyDescent="0.2">
      <c r="B85" s="7"/>
      <c r="C85" s="7"/>
      <c r="D85" s="7"/>
      <c r="E85" s="7"/>
      <c r="F85" s="7"/>
      <c r="G85" s="7"/>
      <c r="H85" s="7"/>
      <c r="I85" s="7"/>
    </row>
    <row r="86" spans="2:9" s="6" customFormat="1" x14ac:dyDescent="0.2">
      <c r="B86" s="7"/>
      <c r="C86" s="7"/>
      <c r="D86" s="7"/>
      <c r="E86" s="7"/>
      <c r="F86" s="7"/>
      <c r="G86" s="7"/>
      <c r="H86" s="7"/>
      <c r="I86" s="7"/>
    </row>
  </sheetData>
  <pageMargins left="0.7" right="0.7" top="0.75" bottom="0.75" header="0.3" footer="0.3"/>
  <pageSetup paperSize="9"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FADD4-C8A4-4400-B68A-D96FC1366435}">
  <sheetPr codeName="Hoja8"/>
  <dimension ref="A1:L100"/>
  <sheetViews>
    <sheetView showGridLines="0" workbookViewId="0">
      <pane xSplit="1" ySplit="2" topLeftCell="B18" activePane="bottomRight" state="frozen"/>
      <selection pane="topRight" activeCell="B1" sqref="B1"/>
      <selection pane="bottomLeft" activeCell="A3" sqref="A3"/>
      <selection pane="bottomRight"/>
    </sheetView>
  </sheetViews>
  <sheetFormatPr baseColWidth="10" defaultColWidth="0" defaultRowHeight="15" zeroHeight="1" x14ac:dyDescent="0.2"/>
  <cols>
    <col min="1" max="1" width="48.5" bestFit="1" customWidth="1"/>
    <col min="2" max="11" width="14.6640625" style="3" customWidth="1"/>
    <col min="12" max="12" width="14.6640625" style="3" hidden="1" customWidth="1"/>
    <col min="13" max="16384" width="11.5" hidden="1"/>
  </cols>
  <sheetData>
    <row r="1" spans="2:12" x14ac:dyDescent="0.2">
      <c r="B1" s="293"/>
      <c r="C1" s="293"/>
      <c r="D1" s="293"/>
      <c r="E1" s="293"/>
      <c r="F1" s="293"/>
      <c r="G1" s="293"/>
      <c r="H1" s="293"/>
      <c r="I1" s="293"/>
      <c r="J1" s="293"/>
      <c r="K1" s="293"/>
      <c r="L1" s="293"/>
    </row>
    <row r="2" spans="2:12" s="73" customFormat="1" x14ac:dyDescent="0.2">
      <c r="B2" s="75"/>
      <c r="C2" s="75"/>
      <c r="D2" s="75"/>
      <c r="E2" s="75"/>
      <c r="F2" s="75"/>
      <c r="G2" s="75"/>
      <c r="H2" s="75"/>
      <c r="I2" s="75"/>
      <c r="J2" s="75"/>
      <c r="K2" s="75"/>
      <c r="L2" s="75"/>
    </row>
    <row r="3" spans="2:12" x14ac:dyDescent="0.2">
      <c r="B3" s="72"/>
      <c r="C3" s="72"/>
      <c r="D3" s="72"/>
      <c r="E3" s="72"/>
      <c r="F3" s="72"/>
      <c r="G3" s="72"/>
      <c r="H3" s="72"/>
      <c r="I3" s="72"/>
      <c r="J3" s="72"/>
      <c r="K3" s="72"/>
      <c r="L3" s="72"/>
    </row>
    <row r="4" spans="2:12" x14ac:dyDescent="0.2">
      <c r="B4" s="72"/>
      <c r="C4" s="72"/>
      <c r="D4" s="72"/>
      <c r="E4" s="72"/>
      <c r="F4" s="72"/>
      <c r="G4" s="72"/>
      <c r="H4" s="72"/>
      <c r="I4" s="72"/>
      <c r="J4" s="72"/>
      <c r="K4" s="72"/>
      <c r="L4" s="72"/>
    </row>
    <row r="5" spans="2:12" x14ac:dyDescent="0.2">
      <c r="B5" s="72"/>
      <c r="C5" s="72"/>
      <c r="D5" s="72"/>
      <c r="E5" s="72"/>
      <c r="F5" s="72"/>
      <c r="G5" s="72"/>
      <c r="H5" s="72"/>
      <c r="I5" s="72"/>
      <c r="J5" s="72"/>
      <c r="K5" s="72"/>
      <c r="L5" s="72"/>
    </row>
    <row r="6" spans="2:12" x14ac:dyDescent="0.2">
      <c r="B6" s="72"/>
      <c r="C6" s="72"/>
      <c r="D6" s="72"/>
      <c r="E6" s="72"/>
      <c r="F6" s="72"/>
      <c r="G6" s="72"/>
      <c r="H6" s="72"/>
      <c r="I6" s="72"/>
      <c r="J6" s="72"/>
      <c r="K6" s="72"/>
      <c r="L6" s="72"/>
    </row>
    <row r="7" spans="2:12" x14ac:dyDescent="0.2">
      <c r="B7" s="72"/>
      <c r="C7" s="72"/>
      <c r="D7" s="72"/>
      <c r="E7" s="72"/>
      <c r="F7" s="72"/>
      <c r="G7" s="72"/>
      <c r="H7" s="72"/>
      <c r="I7" s="72"/>
      <c r="J7" s="72"/>
      <c r="K7" s="72"/>
      <c r="L7" s="72"/>
    </row>
    <row r="8" spans="2:12" x14ac:dyDescent="0.2">
      <c r="B8" s="72"/>
      <c r="C8" s="72"/>
      <c r="D8" s="72"/>
      <c r="E8" s="72"/>
      <c r="F8" s="72"/>
      <c r="G8" s="72"/>
      <c r="H8" s="72"/>
      <c r="I8" s="72"/>
      <c r="J8" s="72"/>
      <c r="K8" s="72"/>
      <c r="L8" s="72"/>
    </row>
    <row r="9" spans="2:12" x14ac:dyDescent="0.2">
      <c r="B9" s="72"/>
      <c r="C9" s="72"/>
      <c r="D9" s="72"/>
      <c r="E9" s="72"/>
      <c r="F9" s="72"/>
      <c r="G9" s="72"/>
      <c r="H9" s="72"/>
      <c r="I9" s="72"/>
      <c r="J9" s="72"/>
      <c r="K9" s="72"/>
      <c r="L9" s="72"/>
    </row>
    <row r="10" spans="2:12" x14ac:dyDescent="0.2">
      <c r="B10" s="72"/>
      <c r="C10" s="72"/>
      <c r="D10" s="72"/>
      <c r="E10" s="72"/>
      <c r="F10" s="72"/>
      <c r="G10" s="72"/>
      <c r="H10" s="72"/>
      <c r="I10" s="72"/>
      <c r="J10" s="72"/>
      <c r="K10" s="72"/>
      <c r="L10" s="72"/>
    </row>
    <row r="11" spans="2:12" x14ac:dyDescent="0.2">
      <c r="B11" s="72"/>
      <c r="C11" s="72"/>
      <c r="D11" s="72"/>
      <c r="E11" s="72"/>
      <c r="F11" s="72"/>
      <c r="G11" s="72"/>
      <c r="H11" s="72"/>
      <c r="I11" s="72"/>
      <c r="J11" s="72"/>
      <c r="K11" s="72"/>
      <c r="L11" s="72"/>
    </row>
    <row r="12" spans="2:12" x14ac:dyDescent="0.2">
      <c r="B12" s="72"/>
      <c r="C12" s="72"/>
      <c r="D12" s="72"/>
      <c r="E12" s="72"/>
      <c r="F12" s="72"/>
      <c r="G12" s="72"/>
      <c r="H12" s="72"/>
      <c r="I12" s="72"/>
      <c r="J12" s="72"/>
      <c r="K12" s="72"/>
      <c r="L12" s="72"/>
    </row>
    <row r="13" spans="2:12" x14ac:dyDescent="0.2">
      <c r="B13" s="72"/>
      <c r="C13" s="72"/>
      <c r="D13" s="72"/>
      <c r="E13" s="72"/>
      <c r="F13" s="72"/>
      <c r="G13" s="72"/>
      <c r="H13" s="72"/>
      <c r="I13" s="72"/>
      <c r="J13" s="72"/>
      <c r="K13" s="72"/>
      <c r="L13" s="72"/>
    </row>
    <row r="14" spans="2:12" x14ac:dyDescent="0.2">
      <c r="B14" s="72"/>
      <c r="C14" s="72"/>
      <c r="D14" s="72"/>
      <c r="E14" s="72"/>
      <c r="F14" s="72"/>
      <c r="G14" s="72"/>
      <c r="H14" s="72"/>
      <c r="I14" s="72"/>
      <c r="J14" s="72"/>
      <c r="K14" s="72"/>
      <c r="L14" s="72"/>
    </row>
    <row r="15" spans="2:12" x14ac:dyDescent="0.2">
      <c r="B15" s="72"/>
      <c r="C15" s="72"/>
      <c r="D15" s="72"/>
      <c r="E15" s="72"/>
      <c r="F15" s="72"/>
      <c r="G15" s="72"/>
      <c r="H15" s="72"/>
      <c r="I15" s="72"/>
      <c r="J15" s="72"/>
      <c r="K15" s="72"/>
      <c r="L15" s="72"/>
    </row>
    <row r="16" spans="2:12" x14ac:dyDescent="0.2">
      <c r="B16" s="72"/>
      <c r="C16" s="72"/>
      <c r="D16" s="72"/>
      <c r="E16" s="72"/>
      <c r="F16" s="72"/>
      <c r="G16" s="72"/>
      <c r="H16" s="72"/>
      <c r="I16" s="72"/>
      <c r="J16" s="72"/>
      <c r="K16" s="72"/>
      <c r="L16" s="72"/>
    </row>
    <row r="17" spans="2:12" x14ac:dyDescent="0.2">
      <c r="B17" s="72"/>
      <c r="C17" s="72"/>
      <c r="D17" s="72"/>
      <c r="E17" s="72"/>
      <c r="F17" s="72"/>
      <c r="G17" s="72"/>
      <c r="H17" s="72"/>
      <c r="I17" s="72"/>
      <c r="J17" s="72"/>
      <c r="K17" s="72"/>
      <c r="L17" s="72"/>
    </row>
    <row r="18" spans="2:12" x14ac:dyDescent="0.2">
      <c r="B18" s="72"/>
      <c r="C18" s="72"/>
      <c r="D18" s="72"/>
      <c r="E18" s="72"/>
      <c r="F18" s="72"/>
      <c r="G18" s="72"/>
      <c r="H18" s="72"/>
      <c r="I18" s="72"/>
      <c r="J18" s="72"/>
      <c r="K18" s="72"/>
      <c r="L18" s="72"/>
    </row>
    <row r="19" spans="2:12" x14ac:dyDescent="0.2">
      <c r="B19" s="72"/>
      <c r="C19" s="72"/>
      <c r="D19" s="72"/>
      <c r="E19" s="72"/>
      <c r="F19" s="72"/>
      <c r="G19" s="72"/>
      <c r="H19" s="72"/>
      <c r="I19" s="72"/>
      <c r="J19" s="72"/>
      <c r="K19" s="72"/>
      <c r="L19" s="72"/>
    </row>
    <row r="20" spans="2:12" x14ac:dyDescent="0.2">
      <c r="B20" s="72"/>
      <c r="C20" s="72"/>
      <c r="D20" s="72"/>
      <c r="E20" s="72"/>
      <c r="F20" s="72"/>
      <c r="G20" s="72"/>
      <c r="H20" s="72"/>
      <c r="I20" s="72"/>
      <c r="J20" s="72"/>
      <c r="K20" s="72"/>
      <c r="L20" s="72"/>
    </row>
    <row r="21" spans="2:12" x14ac:dyDescent="0.2">
      <c r="B21" s="72"/>
      <c r="C21" s="72"/>
      <c r="D21" s="72"/>
      <c r="E21" s="72"/>
      <c r="F21" s="72"/>
      <c r="G21" s="72"/>
      <c r="H21" s="72"/>
      <c r="I21" s="72"/>
      <c r="J21" s="72"/>
      <c r="K21" s="72"/>
      <c r="L21" s="72"/>
    </row>
    <row r="22" spans="2:12" x14ac:dyDescent="0.2">
      <c r="B22" s="72"/>
      <c r="C22" s="72"/>
      <c r="D22" s="72"/>
      <c r="E22" s="72"/>
      <c r="F22" s="72"/>
      <c r="G22" s="72"/>
      <c r="H22" s="72"/>
      <c r="I22" s="72"/>
      <c r="J22" s="72"/>
      <c r="K22" s="72"/>
      <c r="L22" s="72"/>
    </row>
    <row r="23" spans="2:12" x14ac:dyDescent="0.2">
      <c r="B23" s="72"/>
      <c r="C23" s="72"/>
      <c r="D23" s="72"/>
      <c r="E23" s="72"/>
      <c r="F23" s="72"/>
      <c r="G23" s="72"/>
      <c r="H23" s="72"/>
      <c r="I23" s="72"/>
      <c r="J23" s="72"/>
      <c r="K23" s="72"/>
      <c r="L23" s="72"/>
    </row>
    <row r="24" spans="2:12" x14ac:dyDescent="0.2">
      <c r="B24" s="72"/>
      <c r="C24" s="72"/>
      <c r="D24" s="72"/>
      <c r="E24" s="72"/>
      <c r="F24" s="72"/>
      <c r="G24" s="72"/>
      <c r="H24" s="72"/>
      <c r="I24" s="72"/>
      <c r="J24" s="72"/>
      <c r="K24" s="72"/>
      <c r="L24" s="72"/>
    </row>
    <row r="25" spans="2:12" x14ac:dyDescent="0.2">
      <c r="B25" s="72"/>
      <c r="C25" s="72"/>
      <c r="D25" s="72"/>
      <c r="E25" s="72"/>
      <c r="F25" s="72"/>
      <c r="G25" s="72"/>
      <c r="H25" s="72"/>
      <c r="I25" s="72"/>
      <c r="J25" s="72"/>
      <c r="K25" s="72"/>
      <c r="L25" s="72"/>
    </row>
    <row r="26" spans="2:12" x14ac:dyDescent="0.2">
      <c r="B26" s="72"/>
      <c r="C26" s="72"/>
      <c r="D26" s="72"/>
      <c r="E26" s="72"/>
      <c r="F26" s="72"/>
      <c r="G26" s="72"/>
      <c r="H26" s="72"/>
      <c r="I26" s="72"/>
      <c r="J26" s="72"/>
      <c r="K26" s="72"/>
      <c r="L26" s="72"/>
    </row>
    <row r="27" spans="2:12" x14ac:dyDescent="0.2">
      <c r="B27" s="72"/>
      <c r="C27" s="72"/>
      <c r="D27" s="72"/>
      <c r="E27" s="72"/>
      <c r="F27" s="72"/>
      <c r="G27" s="72"/>
      <c r="H27" s="72"/>
      <c r="I27" s="72"/>
      <c r="J27" s="72"/>
      <c r="K27" s="72"/>
      <c r="L27" s="72"/>
    </row>
    <row r="28" spans="2:12" x14ac:dyDescent="0.2">
      <c r="B28" s="72"/>
      <c r="C28" s="72"/>
      <c r="D28" s="72"/>
      <c r="E28" s="72"/>
      <c r="F28" s="72"/>
      <c r="G28" s="72"/>
      <c r="H28" s="72"/>
      <c r="I28" s="72"/>
      <c r="J28" s="72"/>
      <c r="K28" s="72"/>
      <c r="L28" s="72"/>
    </row>
    <row r="29" spans="2:12" x14ac:dyDescent="0.2">
      <c r="B29" s="72"/>
      <c r="C29" s="72"/>
      <c r="D29" s="72"/>
      <c r="E29" s="72"/>
      <c r="F29" s="72"/>
      <c r="G29" s="72"/>
      <c r="H29" s="72"/>
      <c r="I29" s="72"/>
      <c r="J29" s="72"/>
      <c r="K29" s="72"/>
      <c r="L29" s="72"/>
    </row>
    <row r="30" spans="2:12" x14ac:dyDescent="0.2">
      <c r="B30" s="72"/>
      <c r="C30" s="72"/>
      <c r="D30" s="72"/>
      <c r="E30" s="72"/>
      <c r="F30" s="72"/>
      <c r="G30" s="72"/>
      <c r="H30" s="72"/>
      <c r="I30" s="72"/>
      <c r="J30" s="72"/>
      <c r="K30" s="72"/>
      <c r="L30" s="72"/>
    </row>
    <row r="31" spans="2:12" x14ac:dyDescent="0.2">
      <c r="B31" s="72"/>
      <c r="C31" s="72"/>
      <c r="D31" s="72"/>
      <c r="E31" s="72"/>
      <c r="F31" s="72"/>
      <c r="G31" s="72"/>
      <c r="H31" s="72"/>
      <c r="I31" s="72"/>
      <c r="J31" s="72"/>
      <c r="K31" s="72"/>
      <c r="L31" s="72"/>
    </row>
    <row r="32" spans="2:12" x14ac:dyDescent="0.2">
      <c r="B32" s="72"/>
      <c r="C32" s="72"/>
      <c r="D32" s="72"/>
      <c r="E32" s="72"/>
      <c r="F32" s="72"/>
      <c r="G32" s="72"/>
      <c r="H32" s="72"/>
      <c r="I32" s="72"/>
      <c r="J32" s="72"/>
      <c r="K32" s="72"/>
      <c r="L32" s="72"/>
    </row>
    <row r="33" spans="2:12" x14ac:dyDescent="0.2">
      <c r="B33" s="72"/>
      <c r="C33" s="72"/>
      <c r="D33" s="72"/>
      <c r="E33" s="72"/>
      <c r="F33" s="72"/>
      <c r="G33" s="72"/>
      <c r="H33" s="72"/>
      <c r="I33" s="72"/>
      <c r="J33" s="72"/>
      <c r="K33" s="72"/>
      <c r="L33" s="72"/>
    </row>
    <row r="34" spans="2:12" x14ac:dyDescent="0.2">
      <c r="B34" s="72"/>
      <c r="C34" s="72"/>
      <c r="D34" s="72"/>
      <c r="E34" s="72"/>
      <c r="F34" s="72"/>
      <c r="G34" s="72"/>
      <c r="H34" s="72"/>
      <c r="I34" s="72"/>
      <c r="J34" s="72"/>
      <c r="K34" s="72"/>
      <c r="L34" s="72"/>
    </row>
    <row r="35" spans="2:12" x14ac:dyDescent="0.2">
      <c r="B35" s="72"/>
      <c r="C35" s="72"/>
      <c r="D35" s="72"/>
      <c r="E35" s="72"/>
      <c r="F35" s="72"/>
      <c r="G35" s="72"/>
      <c r="H35" s="72"/>
      <c r="I35" s="72"/>
      <c r="J35" s="72"/>
      <c r="K35" s="72"/>
      <c r="L35" s="72"/>
    </row>
    <row r="36" spans="2:12" x14ac:dyDescent="0.2">
      <c r="B36" s="72"/>
      <c r="C36" s="72"/>
      <c r="D36" s="72"/>
      <c r="E36" s="72"/>
      <c r="F36" s="72"/>
      <c r="G36" s="72"/>
      <c r="H36" s="72"/>
      <c r="I36" s="72"/>
      <c r="J36" s="72"/>
      <c r="K36" s="72"/>
      <c r="L36" s="72"/>
    </row>
    <row r="37" spans="2:12" x14ac:dyDescent="0.2">
      <c r="B37" s="294"/>
      <c r="C37" s="72"/>
      <c r="D37" s="294"/>
      <c r="E37" s="294"/>
      <c r="F37" s="72"/>
      <c r="G37" s="294"/>
      <c r="H37" s="72"/>
      <c r="I37" s="294"/>
      <c r="J37" s="72"/>
      <c r="K37" s="72"/>
      <c r="L37" s="72"/>
    </row>
    <row r="38" spans="2:12" x14ac:dyDescent="0.2">
      <c r="B38" s="72"/>
      <c r="C38" s="72"/>
      <c r="D38" s="72"/>
      <c r="E38" s="72"/>
      <c r="F38" s="72"/>
      <c r="G38" s="72"/>
      <c r="H38" s="72"/>
      <c r="I38" s="72"/>
      <c r="J38" s="72"/>
      <c r="K38" s="72"/>
      <c r="L38" s="72"/>
    </row>
    <row r="39" spans="2:12" x14ac:dyDescent="0.2">
      <c r="B39" s="72"/>
      <c r="C39" s="72"/>
      <c r="D39" s="72"/>
      <c r="E39" s="72"/>
      <c r="F39" s="72"/>
      <c r="G39" s="72"/>
      <c r="H39" s="72"/>
      <c r="I39" s="72"/>
      <c r="J39" s="72"/>
      <c r="K39" s="72"/>
      <c r="L39" s="72"/>
    </row>
    <row r="40" spans="2:12" x14ac:dyDescent="0.2">
      <c r="B40" s="72"/>
      <c r="C40" s="72"/>
      <c r="D40" s="72"/>
      <c r="E40" s="72"/>
      <c r="F40" s="72"/>
      <c r="G40" s="72"/>
      <c r="H40" s="72"/>
      <c r="I40" s="72"/>
      <c r="J40" s="72"/>
      <c r="K40" s="72"/>
      <c r="L40" s="72"/>
    </row>
    <row r="41" spans="2:12" x14ac:dyDescent="0.2">
      <c r="B41" s="72"/>
      <c r="C41" s="72"/>
      <c r="D41" s="72"/>
      <c r="E41" s="72"/>
      <c r="F41" s="72"/>
      <c r="G41" s="72"/>
      <c r="H41" s="72"/>
      <c r="I41" s="72"/>
      <c r="J41" s="72"/>
      <c r="K41" s="72"/>
      <c r="L41" s="72"/>
    </row>
    <row r="42" spans="2:12" x14ac:dyDescent="0.2">
      <c r="B42" s="72"/>
      <c r="C42" s="72"/>
      <c r="D42" s="72"/>
      <c r="E42" s="72"/>
      <c r="F42" s="72"/>
      <c r="G42" s="72"/>
      <c r="H42" s="72"/>
      <c r="I42" s="72"/>
      <c r="J42" s="72"/>
      <c r="K42" s="72"/>
      <c r="L42" s="72"/>
    </row>
    <row r="43" spans="2:12" x14ac:dyDescent="0.2">
      <c r="B43" s="72"/>
      <c r="C43" s="72"/>
      <c r="D43" s="72"/>
      <c r="E43" s="72"/>
      <c r="F43" s="72"/>
      <c r="G43" s="72"/>
      <c r="H43" s="72"/>
      <c r="I43" s="72"/>
      <c r="J43" s="72"/>
      <c r="K43" s="72"/>
      <c r="L43" s="72"/>
    </row>
    <row r="44" spans="2:12" x14ac:dyDescent="0.2">
      <c r="B44" s="72"/>
      <c r="C44" s="72"/>
      <c r="D44" s="72"/>
      <c r="E44" s="72"/>
      <c r="F44" s="72"/>
      <c r="G44" s="72"/>
      <c r="H44" s="72"/>
      <c r="I44" s="72"/>
      <c r="J44" s="72"/>
      <c r="K44" s="72"/>
      <c r="L44" s="72"/>
    </row>
    <row r="45" spans="2:12" x14ac:dyDescent="0.2">
      <c r="B45" s="72"/>
      <c r="C45" s="72"/>
      <c r="D45" s="72"/>
      <c r="E45" s="72"/>
      <c r="F45" s="72"/>
      <c r="G45" s="72"/>
      <c r="H45" s="72"/>
      <c r="I45" s="72"/>
      <c r="J45" s="72"/>
      <c r="K45" s="72"/>
      <c r="L45" s="72"/>
    </row>
    <row r="46" spans="2:12" x14ac:dyDescent="0.2">
      <c r="B46" s="72"/>
      <c r="C46" s="72"/>
      <c r="D46" s="72"/>
      <c r="E46" s="72"/>
      <c r="F46" s="72"/>
      <c r="G46" s="72"/>
      <c r="H46" s="72"/>
      <c r="I46" s="72"/>
      <c r="J46" s="72"/>
      <c r="K46" s="72"/>
      <c r="L46" s="72"/>
    </row>
    <row r="47" spans="2:12" x14ac:dyDescent="0.2">
      <c r="B47" s="72"/>
      <c r="C47" s="72"/>
      <c r="D47" s="72"/>
      <c r="E47" s="72"/>
      <c r="F47" s="72"/>
      <c r="G47" s="72"/>
      <c r="H47" s="72"/>
      <c r="I47" s="72"/>
      <c r="J47" s="72"/>
      <c r="K47" s="72"/>
      <c r="L47" s="72"/>
    </row>
    <row r="48" spans="2:12" x14ac:dyDescent="0.2">
      <c r="B48" s="72"/>
      <c r="C48" s="72"/>
      <c r="D48" s="72"/>
      <c r="E48" s="72"/>
      <c r="F48" s="72"/>
      <c r="G48" s="72"/>
      <c r="H48" s="72"/>
      <c r="I48" s="72"/>
      <c r="J48" s="72"/>
      <c r="K48" s="72"/>
      <c r="L48" s="72"/>
    </row>
    <row r="49" spans="2:12" x14ac:dyDescent="0.2">
      <c r="B49" s="72"/>
      <c r="C49" s="72"/>
      <c r="D49" s="72"/>
      <c r="E49" s="72"/>
      <c r="F49" s="72"/>
      <c r="G49" s="72"/>
      <c r="H49" s="72"/>
      <c r="I49" s="72"/>
      <c r="J49" s="72"/>
      <c r="K49" s="72"/>
      <c r="L49" s="72"/>
    </row>
    <row r="50" spans="2:12" x14ac:dyDescent="0.2">
      <c r="B50" s="72"/>
      <c r="C50" s="72"/>
      <c r="D50" s="72"/>
      <c r="E50" s="72"/>
      <c r="F50" s="72"/>
      <c r="G50" s="72"/>
      <c r="H50" s="72"/>
      <c r="I50" s="72"/>
      <c r="J50" s="72"/>
      <c r="K50" s="72"/>
      <c r="L50" s="72"/>
    </row>
    <row r="51" spans="2:12" x14ac:dyDescent="0.2">
      <c r="B51" s="72"/>
      <c r="C51" s="72"/>
      <c r="D51" s="72"/>
      <c r="E51" s="72"/>
      <c r="F51" s="72"/>
      <c r="G51" s="72"/>
      <c r="H51" s="72"/>
      <c r="I51" s="72"/>
      <c r="J51" s="72"/>
      <c r="K51" s="72"/>
      <c r="L51" s="72"/>
    </row>
    <row r="52" spans="2:12" x14ac:dyDescent="0.2">
      <c r="B52" s="72"/>
      <c r="C52" s="72"/>
      <c r="D52" s="72"/>
      <c r="E52" s="72"/>
      <c r="F52" s="72"/>
      <c r="G52" s="72"/>
      <c r="H52" s="72"/>
      <c r="I52" s="72"/>
      <c r="J52" s="72"/>
      <c r="K52" s="72"/>
      <c r="L52" s="72"/>
    </row>
    <row r="53" spans="2:12" x14ac:dyDescent="0.2">
      <c r="B53" s="72"/>
      <c r="C53" s="72"/>
      <c r="D53" s="72"/>
      <c r="E53" s="72"/>
      <c r="F53" s="72"/>
      <c r="G53" s="72"/>
      <c r="H53" s="72"/>
      <c r="I53" s="72"/>
      <c r="J53" s="72"/>
      <c r="K53" s="72"/>
      <c r="L53" s="72"/>
    </row>
    <row r="54" spans="2:12" x14ac:dyDescent="0.2">
      <c r="B54" s="72"/>
      <c r="C54" s="72"/>
      <c r="D54" s="72"/>
      <c r="E54" s="72"/>
      <c r="F54" s="72"/>
      <c r="G54" s="72"/>
      <c r="H54" s="72"/>
      <c r="I54" s="72"/>
      <c r="J54" s="72"/>
      <c r="K54" s="72"/>
      <c r="L54" s="72"/>
    </row>
    <row r="55" spans="2:12" x14ac:dyDescent="0.2">
      <c r="B55" s="72"/>
      <c r="C55" s="72"/>
      <c r="D55" s="72"/>
      <c r="E55" s="72"/>
      <c r="F55" s="72"/>
      <c r="G55" s="72"/>
      <c r="H55" s="72"/>
      <c r="I55" s="72"/>
      <c r="J55" s="72"/>
      <c r="K55" s="72"/>
      <c r="L55" s="72"/>
    </row>
    <row r="56" spans="2:12" x14ac:dyDescent="0.2">
      <c r="B56" s="72"/>
      <c r="C56" s="72"/>
      <c r="D56" s="72"/>
      <c r="E56" s="72"/>
      <c r="F56" s="72"/>
      <c r="G56" s="72"/>
      <c r="H56" s="72"/>
      <c r="I56" s="72"/>
      <c r="J56" s="72"/>
      <c r="K56" s="72"/>
      <c r="L56" s="72"/>
    </row>
    <row r="57" spans="2:12" x14ac:dyDescent="0.2">
      <c r="B57" s="72"/>
      <c r="C57" s="72"/>
      <c r="D57" s="72"/>
      <c r="E57" s="72"/>
      <c r="F57" s="72"/>
      <c r="G57" s="72"/>
      <c r="H57" s="72"/>
      <c r="I57" s="72"/>
      <c r="J57" s="72"/>
      <c r="K57" s="72"/>
      <c r="L57" s="72"/>
    </row>
    <row r="58" spans="2:12" x14ac:dyDescent="0.2">
      <c r="B58" s="72"/>
      <c r="C58" s="72"/>
      <c r="D58" s="72"/>
      <c r="E58" s="72"/>
      <c r="F58" s="72"/>
      <c r="G58" s="72"/>
      <c r="H58" s="72"/>
      <c r="I58" s="72"/>
      <c r="J58" s="72"/>
      <c r="K58" s="72"/>
      <c r="L58" s="72"/>
    </row>
    <row r="59" spans="2:12" x14ac:dyDescent="0.2">
      <c r="B59" s="72"/>
      <c r="C59" s="72"/>
      <c r="D59" s="72"/>
      <c r="E59" s="72"/>
      <c r="F59" s="72"/>
      <c r="G59" s="72"/>
      <c r="H59" s="72"/>
      <c r="I59" s="72"/>
      <c r="J59" s="72"/>
      <c r="K59" s="72"/>
      <c r="L59" s="72"/>
    </row>
    <row r="60" spans="2:12" x14ac:dyDescent="0.2">
      <c r="B60" s="72"/>
      <c r="C60" s="72"/>
      <c r="D60" s="72"/>
      <c r="E60" s="72"/>
      <c r="F60" s="72"/>
      <c r="G60" s="72"/>
      <c r="H60" s="72"/>
      <c r="I60" s="72"/>
      <c r="J60" s="72"/>
      <c r="K60" s="72"/>
      <c r="L60" s="72"/>
    </row>
    <row r="61" spans="2:12" x14ac:dyDescent="0.2">
      <c r="B61" s="72"/>
      <c r="C61" s="72"/>
      <c r="D61" s="72"/>
      <c r="E61" s="72"/>
      <c r="F61" s="72"/>
      <c r="G61" s="72"/>
      <c r="H61" s="72"/>
      <c r="I61" s="72"/>
      <c r="J61" s="72"/>
      <c r="K61" s="72"/>
      <c r="L61" s="72"/>
    </row>
    <row r="62" spans="2:12" x14ac:dyDescent="0.2">
      <c r="B62" s="72"/>
      <c r="C62" s="72"/>
      <c r="D62" s="72"/>
      <c r="E62" s="72"/>
      <c r="F62" s="72"/>
      <c r="G62" s="72"/>
      <c r="H62" s="72"/>
      <c r="I62" s="72"/>
      <c r="J62" s="72"/>
      <c r="K62" s="72"/>
      <c r="L62" s="72"/>
    </row>
    <row r="63" spans="2:12" x14ac:dyDescent="0.2">
      <c r="B63" s="72"/>
      <c r="C63" s="72"/>
      <c r="D63" s="72"/>
      <c r="E63" s="72"/>
      <c r="F63" s="72"/>
      <c r="G63" s="72"/>
      <c r="H63" s="72"/>
      <c r="I63" s="72"/>
      <c r="J63" s="72"/>
      <c r="K63" s="72"/>
      <c r="L63" s="72"/>
    </row>
    <row r="64" spans="2:12" x14ac:dyDescent="0.2">
      <c r="B64" s="72"/>
      <c r="C64" s="72"/>
      <c r="D64" s="72"/>
      <c r="E64" s="72"/>
      <c r="F64" s="72"/>
      <c r="G64" s="72"/>
      <c r="H64" s="72"/>
      <c r="I64" s="72"/>
      <c r="J64" s="72"/>
      <c r="K64" s="72"/>
      <c r="L64" s="72"/>
    </row>
    <row r="65" spans="2:12" x14ac:dyDescent="0.2"/>
    <row r="66" spans="2:12" x14ac:dyDescent="0.2">
      <c r="B66" s="72"/>
      <c r="C66" s="72"/>
      <c r="D66" s="72"/>
      <c r="E66" s="72"/>
      <c r="F66" s="72"/>
      <c r="G66" s="72"/>
      <c r="H66" s="72"/>
      <c r="I66" s="72"/>
      <c r="J66" s="72"/>
      <c r="K66" s="72"/>
      <c r="L66" s="72"/>
    </row>
    <row r="67" spans="2:12" x14ac:dyDescent="0.2">
      <c r="B67" s="72"/>
      <c r="C67" s="72"/>
      <c r="D67" s="72"/>
      <c r="E67" s="72"/>
      <c r="F67" s="72"/>
      <c r="G67" s="72"/>
      <c r="H67" s="72"/>
      <c r="I67" s="72"/>
      <c r="J67" s="72"/>
      <c r="K67" s="72"/>
      <c r="L67" s="72"/>
    </row>
    <row r="68" spans="2:12" x14ac:dyDescent="0.2">
      <c r="B68" s="72"/>
      <c r="C68" s="72"/>
      <c r="D68" s="72"/>
      <c r="E68" s="72"/>
      <c r="F68" s="72"/>
      <c r="G68" s="72"/>
      <c r="H68" s="72"/>
      <c r="I68" s="72"/>
      <c r="J68" s="72"/>
      <c r="K68" s="72"/>
    </row>
    <row r="69" spans="2:12" x14ac:dyDescent="0.2"/>
    <row r="70" spans="2:12" x14ac:dyDescent="0.2"/>
    <row r="71" spans="2:12" x14ac:dyDescent="0.2"/>
    <row r="72" spans="2:12" x14ac:dyDescent="0.2"/>
    <row r="73" spans="2:12" x14ac:dyDescent="0.2"/>
    <row r="74" spans="2:12" x14ac:dyDescent="0.2"/>
    <row r="75" spans="2:12" x14ac:dyDescent="0.2"/>
    <row r="76" spans="2:12" x14ac:dyDescent="0.2"/>
    <row r="77" spans="2:12" x14ac:dyDescent="0.2"/>
    <row r="78" spans="2:12" x14ac:dyDescent="0.2"/>
    <row r="79" spans="2:12" x14ac:dyDescent="0.2"/>
    <row r="80" spans="2:12" x14ac:dyDescent="0.2"/>
    <row r="81" x14ac:dyDescent="0.2"/>
    <row r="82" x14ac:dyDescent="0.2"/>
    <row r="83" x14ac:dyDescent="0.2"/>
    <row r="84" x14ac:dyDescent="0.2"/>
    <row r="85" x14ac:dyDescent="0.2"/>
    <row r="86" x14ac:dyDescent="0.2"/>
    <row r="87" x14ac:dyDescent="0.2"/>
    <row r="88" x14ac:dyDescent="0.2"/>
    <row r="89" x14ac:dyDescent="0.2"/>
    <row r="90" x14ac:dyDescent="0.2"/>
    <row r="91" x14ac:dyDescent="0.2"/>
    <row r="92" x14ac:dyDescent="0.2"/>
    <row r="93" x14ac:dyDescent="0.2"/>
    <row r="94" x14ac:dyDescent="0.2"/>
    <row r="95" x14ac:dyDescent="0.2"/>
    <row r="96" x14ac:dyDescent="0.2"/>
    <row r="97" x14ac:dyDescent="0.2"/>
    <row r="98" x14ac:dyDescent="0.2"/>
    <row r="99" x14ac:dyDescent="0.2"/>
    <row r="100" x14ac:dyDescent="0.2"/>
  </sheetData>
  <dataValidations count="2">
    <dataValidation type="custom" allowBlank="1" showInputMessage="1" showErrorMessage="1" errorTitle="Separador decimal incorrecto" error="- Asegúrate estar usando TIKR desde el navegador Chrome o Edge (otros navegadores dan problemas)_x000a__x000a_- Revisa el vídeotutorial que tienes en Teachable: Sesión 13 - Solución problema frecuente: Separador decimal (ERROR #VALOR)" sqref="B3:L100" xr:uid="{50BA4541-45A7-4B23-A5FE-119A2DC84DC7}">
      <formula1>OR(ISNUMBER(B3), ISNUMBER(VALUE(B3)))</formula1>
    </dataValidation>
    <dataValidation type="custom" allowBlank="1" showErrorMessage="1" errorTitle="Datos fiscales incorrectos" error="- El año fiscal más reciente debe estar en la columna &quot;K&quot;_x000a__x000a_- Revisa el vídeotutorial de la Sesión 13: Uso de plantilla con salidas a bolsa reciente (IPOs) o empresas con pocos años fiscales publicados" sqref="B1:J2" xr:uid="{75D6FA09-51C2-4263-86E2-39E8C667385E}">
      <formula1>COUNTIF($B$1:$J$2,"*LTM*")=0</formula1>
    </dataValidation>
  </dataValidations>
  <pageMargins left="0.7" right="0.7" top="0.75" bottom="0.75" header="0.3" footer="0.3"/>
  <pageSetup paperSize="9"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17B4B-89B8-4AC6-982A-7000E3238168}">
  <sheetPr codeName="Hoja9"/>
  <dimension ref="A1:L100"/>
  <sheetViews>
    <sheetView showGridLines="0" workbookViewId="0">
      <pane xSplit="1" ySplit="2" topLeftCell="B3" activePane="bottomRight" state="frozen"/>
      <selection pane="topRight" activeCell="B1" sqref="B1"/>
      <selection pane="bottomLeft" activeCell="A3" sqref="A3"/>
      <selection pane="bottomRight"/>
    </sheetView>
  </sheetViews>
  <sheetFormatPr baseColWidth="10" defaultColWidth="0" defaultRowHeight="15" zeroHeight="1" x14ac:dyDescent="0.2"/>
  <cols>
    <col min="1" max="1" width="40.33203125" bestFit="1" customWidth="1"/>
    <col min="2" max="11" width="14.6640625" style="3" customWidth="1"/>
    <col min="12" max="12" width="14.6640625" style="3" hidden="1" customWidth="1"/>
    <col min="13" max="16384" width="11.5" hidden="1"/>
  </cols>
  <sheetData>
    <row r="1" spans="1:12" x14ac:dyDescent="0.2">
      <c r="A1" s="73"/>
      <c r="B1" s="74"/>
      <c r="C1" s="74"/>
      <c r="D1" s="74"/>
      <c r="E1" s="74"/>
      <c r="F1" s="74"/>
      <c r="G1" s="74"/>
      <c r="H1" s="74"/>
      <c r="I1" s="74"/>
      <c r="J1" s="74"/>
      <c r="K1" s="74"/>
      <c r="L1" s="74"/>
    </row>
    <row r="2" spans="1:12" x14ac:dyDescent="0.2">
      <c r="A2" s="73"/>
      <c r="B2" s="75"/>
      <c r="C2" s="75"/>
      <c r="D2" s="75"/>
      <c r="E2" s="75"/>
      <c r="F2" s="75"/>
      <c r="G2" s="75"/>
      <c r="H2" s="75"/>
      <c r="I2" s="75"/>
      <c r="J2" s="75"/>
      <c r="K2" s="75"/>
      <c r="L2" s="75"/>
    </row>
    <row r="3" spans="1:12" x14ac:dyDescent="0.2"/>
    <row r="4" spans="1:12" x14ac:dyDescent="0.2">
      <c r="B4" s="72"/>
      <c r="C4" s="72"/>
      <c r="D4" s="72"/>
      <c r="E4" s="72"/>
      <c r="F4" s="72"/>
      <c r="G4" s="72"/>
      <c r="H4" s="72"/>
      <c r="I4" s="72"/>
      <c r="J4" s="72"/>
      <c r="K4" s="72"/>
      <c r="L4" s="72"/>
    </row>
    <row r="5" spans="1:12" x14ac:dyDescent="0.2">
      <c r="B5" s="72"/>
      <c r="C5" s="72"/>
      <c r="D5" s="72"/>
      <c r="E5" s="72"/>
      <c r="F5" s="72"/>
      <c r="G5" s="72"/>
      <c r="H5" s="72"/>
      <c r="I5" s="72"/>
      <c r="J5" s="72"/>
      <c r="K5" s="72"/>
      <c r="L5" s="72"/>
    </row>
    <row r="6" spans="1:12" x14ac:dyDescent="0.2">
      <c r="B6" s="72"/>
      <c r="C6" s="72"/>
      <c r="D6" s="72"/>
      <c r="E6" s="72"/>
      <c r="F6" s="72"/>
      <c r="G6" s="72"/>
      <c r="H6" s="72"/>
      <c r="I6" s="72"/>
      <c r="J6" s="72"/>
      <c r="K6" s="72"/>
      <c r="L6" s="72"/>
    </row>
    <row r="7" spans="1:12" x14ac:dyDescent="0.2">
      <c r="B7" s="72"/>
      <c r="C7" s="72"/>
      <c r="D7" s="72"/>
      <c r="E7" s="72"/>
      <c r="F7" s="72"/>
      <c r="G7" s="72"/>
      <c r="H7" s="72"/>
      <c r="I7" s="72"/>
      <c r="J7" s="72"/>
      <c r="K7" s="72"/>
      <c r="L7" s="72"/>
    </row>
    <row r="8" spans="1:12" x14ac:dyDescent="0.2">
      <c r="B8" s="72"/>
      <c r="C8" s="72"/>
      <c r="D8" s="72"/>
      <c r="E8" s="72"/>
      <c r="F8" s="72"/>
      <c r="G8" s="72"/>
      <c r="H8" s="72"/>
      <c r="I8" s="72"/>
      <c r="J8" s="72"/>
      <c r="K8" s="72"/>
      <c r="L8" s="72"/>
    </row>
    <row r="9" spans="1:12" x14ac:dyDescent="0.2">
      <c r="B9" s="72"/>
      <c r="C9" s="72"/>
      <c r="D9" s="72"/>
      <c r="E9" s="72"/>
      <c r="F9" s="72"/>
      <c r="G9" s="72"/>
      <c r="H9" s="72"/>
      <c r="I9" s="72"/>
      <c r="J9" s="72"/>
      <c r="K9" s="72"/>
      <c r="L9" s="72"/>
    </row>
    <row r="10" spans="1:12" x14ac:dyDescent="0.2">
      <c r="B10" s="72"/>
      <c r="C10" s="72"/>
      <c r="D10" s="72"/>
      <c r="E10" s="72"/>
      <c r="F10" s="72"/>
      <c r="G10" s="72"/>
      <c r="H10" s="72"/>
      <c r="I10" s="72"/>
      <c r="J10" s="72"/>
      <c r="K10" s="72"/>
      <c r="L10" s="72"/>
    </row>
    <row r="11" spans="1:12" x14ac:dyDescent="0.2">
      <c r="B11" s="72"/>
      <c r="C11" s="72"/>
      <c r="D11" s="72"/>
      <c r="E11" s="72"/>
      <c r="F11" s="72"/>
      <c r="G11" s="72"/>
      <c r="H11" s="72"/>
      <c r="I11" s="72"/>
      <c r="J11" s="72"/>
      <c r="K11" s="72"/>
      <c r="L11" s="72"/>
    </row>
    <row r="12" spans="1:12" x14ac:dyDescent="0.2">
      <c r="B12" s="72"/>
      <c r="C12" s="72"/>
      <c r="D12" s="72"/>
      <c r="E12" s="72"/>
      <c r="F12" s="72"/>
      <c r="G12" s="72"/>
      <c r="H12" s="72"/>
      <c r="I12" s="72"/>
      <c r="J12" s="72"/>
      <c r="K12" s="72"/>
      <c r="L12" s="72"/>
    </row>
    <row r="13" spans="1:12" x14ac:dyDescent="0.2">
      <c r="B13" s="72"/>
      <c r="C13" s="72"/>
      <c r="D13" s="72"/>
      <c r="E13" s="72"/>
      <c r="F13" s="72"/>
      <c r="G13" s="72"/>
      <c r="H13" s="72"/>
      <c r="I13" s="72"/>
      <c r="J13" s="72"/>
      <c r="K13" s="72"/>
      <c r="L13" s="72"/>
    </row>
    <row r="14" spans="1:12" x14ac:dyDescent="0.2">
      <c r="B14" s="72"/>
      <c r="C14" s="72"/>
      <c r="D14" s="72"/>
      <c r="E14" s="72"/>
      <c r="F14" s="72"/>
      <c r="G14" s="72"/>
      <c r="H14" s="72"/>
      <c r="I14" s="72"/>
      <c r="J14" s="72"/>
      <c r="K14" s="72"/>
      <c r="L14" s="72"/>
    </row>
    <row r="15" spans="1:12" x14ac:dyDescent="0.2">
      <c r="B15" s="72"/>
      <c r="C15" s="72"/>
      <c r="D15" s="72"/>
      <c r="E15" s="72"/>
      <c r="F15" s="72"/>
      <c r="G15" s="72"/>
      <c r="H15" s="72"/>
      <c r="I15" s="72"/>
      <c r="J15" s="72"/>
      <c r="K15" s="72"/>
      <c r="L15" s="72"/>
    </row>
    <row r="16" spans="1:12" x14ac:dyDescent="0.2">
      <c r="B16" s="72"/>
      <c r="C16" s="72"/>
      <c r="D16" s="72"/>
      <c r="E16" s="72"/>
      <c r="F16" s="72"/>
      <c r="G16" s="72"/>
      <c r="H16" s="72"/>
      <c r="I16" s="72"/>
      <c r="J16" s="72"/>
      <c r="K16" s="72"/>
      <c r="L16" s="72"/>
    </row>
    <row r="17" spans="2:12" x14ac:dyDescent="0.2">
      <c r="B17" s="72"/>
      <c r="C17" s="72"/>
      <c r="D17" s="72"/>
      <c r="E17" s="72"/>
      <c r="F17" s="72"/>
      <c r="G17" s="72"/>
      <c r="H17" s="72"/>
      <c r="I17" s="72"/>
      <c r="J17" s="72"/>
      <c r="K17" s="72"/>
      <c r="L17" s="72"/>
    </row>
    <row r="18" spans="2:12" x14ac:dyDescent="0.2">
      <c r="B18" s="72"/>
      <c r="C18" s="72"/>
      <c r="D18" s="72"/>
      <c r="E18" s="72"/>
      <c r="F18" s="72"/>
      <c r="G18" s="72"/>
      <c r="H18" s="72"/>
      <c r="I18" s="72"/>
      <c r="J18" s="72"/>
      <c r="K18" s="72"/>
      <c r="L18" s="72"/>
    </row>
    <row r="19" spans="2:12" x14ac:dyDescent="0.2">
      <c r="B19" s="72"/>
      <c r="C19" s="72"/>
      <c r="D19" s="72"/>
      <c r="E19" s="72"/>
      <c r="F19" s="72"/>
      <c r="G19" s="72"/>
      <c r="H19" s="72"/>
      <c r="I19" s="72"/>
      <c r="J19" s="72"/>
      <c r="K19" s="72"/>
      <c r="L19" s="72"/>
    </row>
    <row r="20" spans="2:12" x14ac:dyDescent="0.2">
      <c r="B20" s="72"/>
      <c r="C20" s="72"/>
      <c r="D20" s="72"/>
      <c r="E20" s="72"/>
      <c r="F20" s="72"/>
      <c r="G20" s="72"/>
      <c r="H20" s="72"/>
      <c r="I20" s="72"/>
      <c r="J20" s="72"/>
      <c r="K20" s="72"/>
      <c r="L20" s="72"/>
    </row>
    <row r="21" spans="2:12" x14ac:dyDescent="0.2">
      <c r="B21" s="72"/>
      <c r="C21" s="72"/>
      <c r="D21" s="72"/>
      <c r="E21" s="72"/>
      <c r="F21" s="72"/>
      <c r="G21" s="72"/>
      <c r="H21" s="72"/>
      <c r="I21" s="72"/>
      <c r="J21" s="72"/>
      <c r="K21" s="72"/>
      <c r="L21" s="72"/>
    </row>
    <row r="22" spans="2:12" x14ac:dyDescent="0.2">
      <c r="B22" s="72"/>
      <c r="C22" s="72"/>
      <c r="D22" s="72"/>
      <c r="E22" s="72"/>
      <c r="F22" s="72"/>
      <c r="G22" s="72"/>
      <c r="H22" s="72"/>
      <c r="I22" s="72"/>
      <c r="J22" s="72"/>
      <c r="K22" s="72"/>
      <c r="L22" s="72"/>
    </row>
    <row r="23" spans="2:12" x14ac:dyDescent="0.2">
      <c r="B23" s="72"/>
      <c r="C23" s="72"/>
      <c r="D23" s="72"/>
      <c r="E23" s="72"/>
      <c r="F23" s="72"/>
      <c r="G23" s="72"/>
      <c r="H23" s="72"/>
      <c r="I23" s="72"/>
      <c r="J23" s="72"/>
      <c r="K23" s="72"/>
      <c r="L23" s="72"/>
    </row>
    <row r="24" spans="2:12" x14ac:dyDescent="0.2">
      <c r="B24" s="72"/>
      <c r="C24" s="72"/>
      <c r="D24" s="72"/>
      <c r="E24" s="72"/>
      <c r="F24" s="72"/>
      <c r="G24" s="72"/>
      <c r="H24" s="72"/>
      <c r="I24" s="72"/>
      <c r="J24" s="72"/>
      <c r="K24" s="72"/>
      <c r="L24" s="72"/>
    </row>
    <row r="25" spans="2:12" x14ac:dyDescent="0.2">
      <c r="B25" s="72"/>
      <c r="C25" s="72"/>
      <c r="D25" s="72"/>
      <c r="E25" s="72"/>
      <c r="F25" s="72"/>
      <c r="G25" s="72"/>
      <c r="H25" s="72"/>
      <c r="I25" s="72"/>
      <c r="J25" s="72"/>
      <c r="K25" s="72"/>
      <c r="L25" s="72"/>
    </row>
    <row r="26" spans="2:12" x14ac:dyDescent="0.2">
      <c r="B26" s="72"/>
      <c r="C26" s="72"/>
      <c r="D26" s="72"/>
      <c r="E26" s="72"/>
      <c r="F26" s="72"/>
      <c r="G26" s="72"/>
      <c r="H26" s="72"/>
      <c r="I26" s="72"/>
      <c r="J26" s="72"/>
      <c r="K26" s="72"/>
      <c r="L26" s="72"/>
    </row>
    <row r="27" spans="2:12" x14ac:dyDescent="0.2">
      <c r="B27" s="72"/>
      <c r="C27" s="72"/>
      <c r="D27" s="72"/>
      <c r="E27" s="72"/>
      <c r="F27" s="72"/>
      <c r="G27" s="72"/>
      <c r="H27" s="72"/>
      <c r="I27" s="72"/>
      <c r="J27" s="72"/>
      <c r="K27" s="72"/>
      <c r="L27" s="72"/>
    </row>
    <row r="28" spans="2:12" x14ac:dyDescent="0.2">
      <c r="B28" s="72"/>
      <c r="C28" s="72"/>
      <c r="D28" s="72"/>
      <c r="E28" s="72"/>
      <c r="F28" s="72"/>
      <c r="G28" s="72"/>
      <c r="H28" s="72"/>
      <c r="I28" s="72"/>
      <c r="J28" s="72"/>
      <c r="K28" s="72"/>
      <c r="L28" s="72"/>
    </row>
    <row r="29" spans="2:12" x14ac:dyDescent="0.2">
      <c r="B29" s="72"/>
      <c r="C29" s="72"/>
      <c r="D29" s="72"/>
      <c r="E29" s="72"/>
      <c r="F29" s="72"/>
      <c r="G29" s="72"/>
      <c r="H29" s="72"/>
      <c r="I29" s="72"/>
      <c r="J29" s="72"/>
      <c r="K29" s="72"/>
      <c r="L29" s="72"/>
    </row>
    <row r="30" spans="2:12" x14ac:dyDescent="0.2">
      <c r="B30" s="72"/>
      <c r="C30" s="72"/>
      <c r="D30" s="72"/>
      <c r="E30" s="72"/>
      <c r="F30" s="72"/>
      <c r="G30" s="72"/>
      <c r="H30" s="72"/>
      <c r="I30" s="72"/>
      <c r="J30" s="72"/>
      <c r="K30" s="72"/>
      <c r="L30" s="72"/>
    </row>
    <row r="31" spans="2:12" x14ac:dyDescent="0.2">
      <c r="B31" s="72"/>
      <c r="C31" s="72"/>
      <c r="D31" s="72"/>
      <c r="E31" s="72"/>
      <c r="F31" s="72"/>
      <c r="G31" s="72"/>
      <c r="H31" s="72"/>
      <c r="I31" s="72"/>
      <c r="J31" s="72"/>
      <c r="K31" s="72"/>
      <c r="L31" s="72"/>
    </row>
    <row r="32" spans="2:12" x14ac:dyDescent="0.2">
      <c r="B32" s="72"/>
      <c r="C32" s="72"/>
      <c r="D32" s="72"/>
      <c r="E32" s="72"/>
      <c r="F32" s="72"/>
      <c r="G32" s="72"/>
      <c r="H32" s="72"/>
      <c r="I32" s="72"/>
      <c r="J32" s="72"/>
      <c r="K32" s="72"/>
      <c r="L32" s="72"/>
    </row>
    <row r="33" spans="2:12" x14ac:dyDescent="0.2">
      <c r="B33" s="72"/>
      <c r="C33" s="72"/>
      <c r="D33" s="72"/>
      <c r="E33" s="72"/>
      <c r="F33" s="72"/>
      <c r="G33" s="72"/>
      <c r="H33" s="72"/>
      <c r="I33" s="72"/>
      <c r="J33" s="72"/>
      <c r="K33" s="72"/>
      <c r="L33" s="72"/>
    </row>
    <row r="34" spans="2:12" x14ac:dyDescent="0.2">
      <c r="B34" s="72"/>
      <c r="C34" s="72"/>
      <c r="D34" s="72"/>
      <c r="E34" s="72"/>
      <c r="F34" s="72"/>
      <c r="G34" s="72"/>
      <c r="H34" s="72"/>
      <c r="I34" s="72"/>
      <c r="J34" s="72"/>
      <c r="K34" s="72"/>
      <c r="L34" s="72"/>
    </row>
    <row r="35" spans="2:12" x14ac:dyDescent="0.2">
      <c r="B35" s="72"/>
      <c r="C35" s="72"/>
      <c r="D35" s="72"/>
      <c r="E35" s="72"/>
      <c r="F35" s="72"/>
      <c r="G35" s="72"/>
      <c r="H35" s="72"/>
      <c r="I35" s="72"/>
      <c r="J35" s="72"/>
      <c r="K35" s="72"/>
      <c r="L35" s="72"/>
    </row>
    <row r="36" spans="2:12" x14ac:dyDescent="0.2">
      <c r="B36" s="72"/>
      <c r="C36" s="72"/>
      <c r="D36" s="72"/>
      <c r="E36" s="72"/>
      <c r="F36" s="72"/>
      <c r="G36" s="72"/>
      <c r="H36" s="72"/>
      <c r="I36" s="72"/>
      <c r="J36" s="72"/>
      <c r="K36" s="72"/>
      <c r="L36" s="72"/>
    </row>
    <row r="37" spans="2:12" x14ac:dyDescent="0.2">
      <c r="B37" s="72"/>
      <c r="C37" s="72"/>
      <c r="D37" s="72"/>
      <c r="E37" s="72"/>
      <c r="F37" s="72"/>
      <c r="G37" s="72"/>
      <c r="H37" s="72"/>
      <c r="I37" s="72"/>
      <c r="J37" s="72"/>
      <c r="K37" s="72"/>
      <c r="L37" s="72"/>
    </row>
    <row r="38" spans="2:12" x14ac:dyDescent="0.2">
      <c r="B38" s="72"/>
      <c r="C38" s="72"/>
      <c r="D38" s="72"/>
      <c r="E38" s="72"/>
      <c r="F38" s="72"/>
      <c r="G38" s="72"/>
      <c r="H38" s="72"/>
      <c r="I38" s="72"/>
      <c r="J38" s="72"/>
      <c r="K38" s="72"/>
      <c r="L38" s="72"/>
    </row>
    <row r="39" spans="2:12" x14ac:dyDescent="0.2">
      <c r="B39" s="72"/>
      <c r="C39" s="72"/>
      <c r="D39" s="72"/>
      <c r="E39" s="72"/>
      <c r="F39" s="72"/>
      <c r="G39" s="72"/>
      <c r="H39" s="72"/>
      <c r="I39" s="72"/>
      <c r="J39" s="72"/>
      <c r="K39" s="72"/>
      <c r="L39" s="72"/>
    </row>
    <row r="40" spans="2:12" x14ac:dyDescent="0.2">
      <c r="B40" s="72"/>
      <c r="C40" s="72"/>
      <c r="D40" s="72"/>
      <c r="E40" s="72"/>
      <c r="F40" s="72"/>
      <c r="G40" s="72"/>
      <c r="H40" s="72"/>
      <c r="I40" s="72"/>
      <c r="J40" s="72"/>
      <c r="K40" s="72"/>
      <c r="L40" s="72"/>
    </row>
    <row r="41" spans="2:12" x14ac:dyDescent="0.2">
      <c r="B41" s="72"/>
      <c r="C41" s="72"/>
      <c r="D41" s="72"/>
      <c r="E41" s="72"/>
      <c r="F41" s="72"/>
      <c r="G41" s="72"/>
      <c r="H41" s="72"/>
      <c r="I41" s="72"/>
      <c r="J41" s="72"/>
      <c r="K41" s="72"/>
      <c r="L41" s="72"/>
    </row>
    <row r="42" spans="2:12" x14ac:dyDescent="0.2">
      <c r="B42" s="72"/>
      <c r="C42" s="72"/>
      <c r="D42" s="72"/>
      <c r="E42" s="72"/>
      <c r="F42" s="72"/>
      <c r="G42" s="72"/>
      <c r="H42" s="72"/>
      <c r="I42" s="72"/>
      <c r="J42" s="72"/>
      <c r="K42" s="72"/>
      <c r="L42" s="72"/>
    </row>
    <row r="43" spans="2:12" x14ac:dyDescent="0.2">
      <c r="B43" s="72"/>
      <c r="C43" s="72"/>
      <c r="D43" s="72"/>
      <c r="E43" s="72"/>
      <c r="F43" s="72"/>
      <c r="G43" s="72"/>
      <c r="H43" s="72"/>
      <c r="I43" s="72"/>
      <c r="J43" s="72"/>
      <c r="K43" s="72"/>
      <c r="L43" s="72"/>
    </row>
    <row r="44" spans="2:12" x14ac:dyDescent="0.2">
      <c r="B44" s="72"/>
      <c r="C44" s="72"/>
      <c r="D44" s="72"/>
      <c r="E44" s="72"/>
      <c r="F44" s="72"/>
      <c r="G44" s="72"/>
      <c r="H44" s="72"/>
      <c r="I44" s="72"/>
      <c r="J44" s="72"/>
      <c r="K44" s="72"/>
      <c r="L44" s="72"/>
    </row>
    <row r="45" spans="2:12" x14ac:dyDescent="0.2">
      <c r="B45" s="72"/>
      <c r="C45" s="72"/>
      <c r="D45" s="72"/>
      <c r="E45" s="72"/>
      <c r="F45" s="72"/>
      <c r="G45" s="72"/>
      <c r="H45" s="72"/>
      <c r="I45" s="72"/>
      <c r="J45" s="72"/>
      <c r="K45" s="72"/>
      <c r="L45" s="72"/>
    </row>
    <row r="46" spans="2:12" x14ac:dyDescent="0.2">
      <c r="B46" s="72"/>
      <c r="C46" s="72"/>
      <c r="D46" s="72"/>
      <c r="E46" s="72"/>
      <c r="F46" s="72"/>
      <c r="G46" s="72"/>
      <c r="H46" s="72"/>
      <c r="I46" s="72"/>
      <c r="J46" s="72"/>
      <c r="K46" s="72"/>
      <c r="L46" s="72"/>
    </row>
    <row r="47" spans="2:12" x14ac:dyDescent="0.2">
      <c r="B47" s="72"/>
      <c r="C47" s="72"/>
      <c r="D47" s="72"/>
      <c r="E47" s="72"/>
      <c r="F47" s="72"/>
      <c r="G47" s="72"/>
      <c r="H47" s="72"/>
      <c r="I47" s="72"/>
      <c r="J47" s="72"/>
      <c r="K47" s="72"/>
      <c r="L47" s="72"/>
    </row>
    <row r="48" spans="2:12" x14ac:dyDescent="0.2">
      <c r="B48" s="72"/>
      <c r="C48" s="72"/>
      <c r="D48" s="72"/>
      <c r="E48" s="72"/>
      <c r="F48" s="72"/>
      <c r="G48" s="72"/>
      <c r="H48" s="72"/>
      <c r="I48" s="72"/>
      <c r="J48" s="72"/>
      <c r="K48" s="72"/>
      <c r="L48" s="72"/>
    </row>
    <row r="49" spans="2:12" x14ac:dyDescent="0.2">
      <c r="B49" s="72"/>
      <c r="C49" s="72"/>
      <c r="D49" s="72"/>
      <c r="E49" s="72"/>
      <c r="F49" s="72"/>
      <c r="G49" s="72"/>
      <c r="H49" s="72"/>
      <c r="I49" s="72"/>
      <c r="J49" s="72"/>
      <c r="K49" s="72"/>
      <c r="L49" s="72"/>
    </row>
    <row r="50" spans="2:12" x14ac:dyDescent="0.2">
      <c r="B50" s="72"/>
      <c r="C50" s="72"/>
      <c r="D50" s="72"/>
      <c r="E50" s="72"/>
      <c r="F50" s="72"/>
      <c r="G50" s="72"/>
      <c r="H50" s="72"/>
      <c r="I50" s="72"/>
      <c r="J50" s="72"/>
      <c r="K50" s="72"/>
      <c r="L50" s="72"/>
    </row>
    <row r="51" spans="2:12" x14ac:dyDescent="0.2">
      <c r="B51" s="72"/>
      <c r="C51" s="72"/>
      <c r="D51" s="72"/>
      <c r="E51" s="72"/>
      <c r="F51" s="72"/>
      <c r="G51" s="72"/>
      <c r="H51" s="72"/>
      <c r="I51" s="72"/>
      <c r="J51" s="72"/>
      <c r="K51" s="72"/>
      <c r="L51" s="72"/>
    </row>
    <row r="52" spans="2:12" x14ac:dyDescent="0.2">
      <c r="B52" s="72"/>
      <c r="C52" s="72"/>
      <c r="D52" s="72"/>
      <c r="E52" s="72"/>
      <c r="F52" s="72"/>
      <c r="G52" s="72"/>
      <c r="H52" s="72"/>
      <c r="I52" s="72"/>
      <c r="J52" s="72"/>
      <c r="K52" s="72"/>
      <c r="L52" s="72"/>
    </row>
    <row r="53" spans="2:12" x14ac:dyDescent="0.2">
      <c r="B53" s="72"/>
      <c r="C53" s="72"/>
      <c r="D53" s="72"/>
      <c r="E53" s="72"/>
      <c r="F53" s="72"/>
      <c r="G53" s="72"/>
      <c r="H53" s="72"/>
      <c r="I53" s="72"/>
      <c r="J53" s="72"/>
      <c r="K53" s="72"/>
      <c r="L53" s="72"/>
    </row>
    <row r="54" spans="2:12" x14ac:dyDescent="0.2">
      <c r="B54" s="72"/>
      <c r="C54" s="72"/>
      <c r="D54" s="72"/>
      <c r="E54" s="72"/>
      <c r="F54" s="72"/>
      <c r="G54" s="72"/>
      <c r="H54" s="72"/>
      <c r="I54" s="72"/>
      <c r="J54" s="72"/>
      <c r="K54" s="72"/>
      <c r="L54" s="72"/>
    </row>
    <row r="55" spans="2:12" x14ac:dyDescent="0.2">
      <c r="B55" s="72"/>
      <c r="C55" s="72"/>
      <c r="D55" s="72"/>
      <c r="E55" s="72"/>
      <c r="F55" s="72"/>
      <c r="G55" s="72"/>
      <c r="H55" s="72"/>
      <c r="I55" s="72"/>
      <c r="J55" s="72"/>
      <c r="K55" s="72"/>
      <c r="L55" s="72"/>
    </row>
    <row r="56" spans="2:12" x14ac:dyDescent="0.2">
      <c r="B56" s="72"/>
      <c r="C56" s="72"/>
      <c r="D56" s="72"/>
      <c r="E56" s="72"/>
      <c r="F56" s="72"/>
      <c r="G56" s="72"/>
      <c r="H56" s="72"/>
      <c r="I56" s="72"/>
      <c r="J56" s="72"/>
      <c r="K56" s="72"/>
      <c r="L56" s="72"/>
    </row>
    <row r="57" spans="2:12" x14ac:dyDescent="0.2">
      <c r="B57" s="72"/>
      <c r="C57" s="72"/>
      <c r="D57" s="72"/>
      <c r="E57" s="72"/>
      <c r="F57" s="72"/>
      <c r="G57" s="72"/>
      <c r="H57" s="72"/>
      <c r="I57" s="72"/>
      <c r="J57" s="72"/>
      <c r="K57" s="72"/>
      <c r="L57" s="72"/>
    </row>
    <row r="58" spans="2:12" x14ac:dyDescent="0.2">
      <c r="B58" s="72"/>
      <c r="C58" s="72"/>
      <c r="D58" s="72"/>
      <c r="E58" s="72"/>
      <c r="F58" s="72"/>
      <c r="G58" s="72"/>
      <c r="H58" s="72"/>
      <c r="I58" s="72"/>
      <c r="J58" s="72"/>
      <c r="K58" s="72"/>
      <c r="L58" s="72"/>
    </row>
    <row r="59" spans="2:12" x14ac:dyDescent="0.2">
      <c r="B59" s="72"/>
      <c r="C59" s="72"/>
      <c r="D59" s="72"/>
      <c r="E59" s="72"/>
      <c r="F59" s="72"/>
      <c r="G59" s="72"/>
      <c r="H59" s="72"/>
      <c r="I59" s="72"/>
      <c r="J59" s="72"/>
      <c r="K59" s="72"/>
      <c r="L59" s="72"/>
    </row>
    <row r="60" spans="2:12" x14ac:dyDescent="0.2">
      <c r="B60" s="72"/>
      <c r="C60" s="72"/>
      <c r="D60" s="72"/>
      <c r="E60" s="72"/>
      <c r="F60" s="72"/>
      <c r="G60" s="72"/>
      <c r="H60" s="72"/>
      <c r="I60" s="72"/>
      <c r="J60" s="72"/>
      <c r="K60" s="72"/>
      <c r="L60" s="72"/>
    </row>
    <row r="61" spans="2:12" x14ac:dyDescent="0.2">
      <c r="B61" s="72"/>
      <c r="C61" s="72"/>
      <c r="D61" s="72"/>
      <c r="E61" s="72"/>
      <c r="F61" s="72"/>
      <c r="G61" s="72"/>
      <c r="H61" s="72"/>
      <c r="I61" s="72"/>
      <c r="J61" s="72"/>
      <c r="K61" s="72"/>
      <c r="L61" s="72"/>
    </row>
    <row r="62" spans="2:12" x14ac:dyDescent="0.2">
      <c r="B62" s="72"/>
      <c r="C62" s="72"/>
      <c r="D62" s="72"/>
      <c r="E62" s="72"/>
      <c r="F62" s="72"/>
      <c r="G62" s="72"/>
      <c r="H62" s="72"/>
      <c r="I62" s="72"/>
      <c r="J62" s="72"/>
      <c r="K62" s="72"/>
      <c r="L62" s="72"/>
    </row>
    <row r="63" spans="2:12" x14ac:dyDescent="0.2">
      <c r="B63" s="72"/>
      <c r="C63" s="72"/>
      <c r="D63" s="72"/>
      <c r="E63" s="72"/>
      <c r="F63" s="72"/>
      <c r="G63" s="72"/>
      <c r="H63" s="72"/>
      <c r="I63" s="72"/>
      <c r="J63" s="72"/>
      <c r="K63" s="72"/>
      <c r="L63" s="72"/>
    </row>
    <row r="64" spans="2:12" x14ac:dyDescent="0.2">
      <c r="B64" s="72"/>
      <c r="C64" s="72"/>
      <c r="D64" s="72"/>
      <c r="E64" s="72"/>
      <c r="F64" s="72"/>
      <c r="G64" s="72"/>
      <c r="H64" s="72"/>
      <c r="I64" s="72"/>
      <c r="J64" s="72"/>
      <c r="K64" s="72"/>
      <c r="L64" s="72"/>
    </row>
    <row r="65" spans="2:12" x14ac:dyDescent="0.2">
      <c r="B65" s="72"/>
      <c r="C65" s="72"/>
      <c r="D65" s="72"/>
      <c r="E65" s="72"/>
      <c r="F65" s="72"/>
      <c r="G65" s="72"/>
      <c r="H65" s="72"/>
      <c r="I65" s="72"/>
      <c r="J65" s="72"/>
      <c r="K65" s="72"/>
      <c r="L65" s="72"/>
    </row>
    <row r="66" spans="2:12" x14ac:dyDescent="0.2">
      <c r="J66" s="72"/>
      <c r="K66" s="72"/>
      <c r="L66" s="72"/>
    </row>
    <row r="67" spans="2:12" x14ac:dyDescent="0.2">
      <c r="C67" s="72"/>
      <c r="H67" s="72"/>
      <c r="I67" s="72"/>
      <c r="J67" s="72"/>
      <c r="K67" s="72"/>
    </row>
    <row r="68" spans="2:12" x14ac:dyDescent="0.2">
      <c r="B68" s="72"/>
      <c r="C68" s="72"/>
      <c r="D68" s="72"/>
      <c r="E68" s="72"/>
      <c r="F68" s="72"/>
      <c r="G68" s="72"/>
      <c r="H68" s="72"/>
      <c r="I68" s="72"/>
      <c r="J68" s="72"/>
      <c r="K68" s="72"/>
    </row>
    <row r="69" spans="2:12" x14ac:dyDescent="0.2">
      <c r="B69" s="72"/>
      <c r="C69" s="72"/>
      <c r="D69" s="72"/>
      <c r="E69" s="72"/>
      <c r="F69" s="72"/>
      <c r="G69" s="72"/>
      <c r="H69" s="72"/>
      <c r="I69" s="72"/>
      <c r="J69" s="72"/>
      <c r="K69" s="72"/>
      <c r="L69" s="72"/>
    </row>
    <row r="70" spans="2:12" x14ac:dyDescent="0.2"/>
    <row r="71" spans="2:12" x14ac:dyDescent="0.2"/>
    <row r="72" spans="2:12" x14ac:dyDescent="0.2"/>
    <row r="73" spans="2:12" x14ac:dyDescent="0.2"/>
    <row r="74" spans="2:12" x14ac:dyDescent="0.2"/>
    <row r="75" spans="2:12" x14ac:dyDescent="0.2"/>
    <row r="76" spans="2:12" x14ac:dyDescent="0.2"/>
    <row r="77" spans="2:12" x14ac:dyDescent="0.2"/>
    <row r="78" spans="2:12" x14ac:dyDescent="0.2"/>
    <row r="79" spans="2:12" x14ac:dyDescent="0.2"/>
    <row r="80" spans="2:12" x14ac:dyDescent="0.2"/>
    <row r="81" x14ac:dyDescent="0.2"/>
    <row r="82" x14ac:dyDescent="0.2"/>
    <row r="83" x14ac:dyDescent="0.2"/>
    <row r="84" x14ac:dyDescent="0.2"/>
    <row r="85" x14ac:dyDescent="0.2"/>
    <row r="86" x14ac:dyDescent="0.2"/>
    <row r="87" x14ac:dyDescent="0.2"/>
    <row r="88" x14ac:dyDescent="0.2"/>
    <row r="89" x14ac:dyDescent="0.2"/>
    <row r="90" x14ac:dyDescent="0.2"/>
    <row r="91" x14ac:dyDescent="0.2"/>
    <row r="92" x14ac:dyDescent="0.2"/>
    <row r="93" x14ac:dyDescent="0.2"/>
    <row r="94" x14ac:dyDescent="0.2"/>
    <row r="95" x14ac:dyDescent="0.2"/>
    <row r="96" x14ac:dyDescent="0.2"/>
    <row r="97" x14ac:dyDescent="0.2"/>
    <row r="98" x14ac:dyDescent="0.2"/>
    <row r="99" x14ac:dyDescent="0.2"/>
    <row r="100" x14ac:dyDescent="0.2"/>
  </sheetData>
  <dataValidations count="1">
    <dataValidation type="custom" allowBlank="1" showInputMessage="1" showErrorMessage="1" errorTitle="Separador decimal incorrecto" error="- Asegúrate estar usando TIKR desde el navegador Chrome o Edge (otros navegadores dan problemas)_x000a__x000a_- Revisa el vídeotutorial que tienes en Teachable: Sesión 13 - Solución problema frecuente: Separador decimal (ERROR #VALOR)" sqref="B3:L100" xr:uid="{A3FC0C2B-C377-4FFB-9247-2534EC39C63E}">
      <formula1>OR(ISNUMBER(B3), ISNUMBER(VALUE(B3)))</formula1>
    </dataValidation>
  </dataValidations>
  <pageMargins left="0.7" right="0.7" top="0.75" bottom="0.75" header="0.3" footer="0.3"/>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5F573-FD70-43AA-9C68-646EEB9D54E7}">
  <sheetPr codeName="Hoja10"/>
  <dimension ref="A1:L100"/>
  <sheetViews>
    <sheetView showGridLines="0" workbookViewId="0">
      <pane xSplit="1" ySplit="2" topLeftCell="B3" activePane="bottomRight" state="frozen"/>
      <selection pane="topRight" activeCell="B1" sqref="B1"/>
      <selection pane="bottomLeft" activeCell="A3" sqref="A3"/>
      <selection pane="bottomRight"/>
    </sheetView>
  </sheetViews>
  <sheetFormatPr baseColWidth="10" defaultColWidth="0" defaultRowHeight="15" zeroHeight="1" x14ac:dyDescent="0.2"/>
  <cols>
    <col min="1" max="1" width="43.5" bestFit="1" customWidth="1"/>
    <col min="2" max="11" width="14.6640625" style="3" customWidth="1"/>
    <col min="12" max="12" width="14.6640625" style="3" hidden="1" customWidth="1"/>
    <col min="13" max="16384" width="11.5" hidden="1"/>
  </cols>
  <sheetData>
    <row r="1" spans="1:12" x14ac:dyDescent="0.2">
      <c r="A1" s="77"/>
      <c r="B1" s="78"/>
      <c r="C1" s="78"/>
      <c r="D1" s="78"/>
      <c r="E1" s="78"/>
      <c r="F1" s="78"/>
      <c r="G1" s="78"/>
      <c r="H1" s="78"/>
      <c r="I1" s="78"/>
      <c r="J1" s="78"/>
      <c r="K1" s="78"/>
      <c r="L1" s="78"/>
    </row>
    <row r="2" spans="1:12" x14ac:dyDescent="0.2">
      <c r="A2" s="77"/>
      <c r="B2" s="79"/>
      <c r="C2" s="79"/>
      <c r="D2" s="79"/>
      <c r="E2" s="79"/>
      <c r="F2" s="79"/>
      <c r="G2" s="79"/>
      <c r="H2" s="79"/>
      <c r="I2" s="79"/>
      <c r="J2" s="79"/>
      <c r="K2" s="79"/>
      <c r="L2" s="79"/>
    </row>
    <row r="3" spans="1:12" x14ac:dyDescent="0.2">
      <c r="A3" s="80"/>
      <c r="B3" s="81"/>
      <c r="C3" s="81"/>
      <c r="D3" s="81"/>
      <c r="E3" s="81"/>
      <c r="F3" s="81"/>
      <c r="G3" s="81"/>
      <c r="H3" s="81"/>
      <c r="I3" s="81"/>
      <c r="J3" s="81"/>
      <c r="K3" s="81"/>
      <c r="L3" s="81"/>
    </row>
    <row r="4" spans="1:12" x14ac:dyDescent="0.2">
      <c r="A4" s="80"/>
      <c r="B4" s="82"/>
      <c r="C4" s="82"/>
      <c r="D4" s="82"/>
      <c r="E4" s="82"/>
      <c r="F4" s="82"/>
      <c r="G4" s="82"/>
      <c r="H4" s="82"/>
      <c r="I4" s="82"/>
      <c r="J4" s="82"/>
      <c r="K4" s="82"/>
      <c r="L4" s="82"/>
    </row>
    <row r="5" spans="1:12" x14ac:dyDescent="0.2">
      <c r="A5" s="80"/>
      <c r="B5" s="82"/>
      <c r="C5" s="82"/>
      <c r="D5" s="82"/>
      <c r="E5" s="82"/>
      <c r="F5" s="82"/>
      <c r="G5" s="82"/>
      <c r="H5" s="82"/>
      <c r="I5" s="82"/>
      <c r="J5" s="82"/>
      <c r="K5" s="82"/>
      <c r="L5" s="82"/>
    </row>
    <row r="6" spans="1:12" x14ac:dyDescent="0.2">
      <c r="A6" s="80"/>
      <c r="B6" s="82"/>
      <c r="C6" s="82"/>
      <c r="D6" s="82"/>
      <c r="E6" s="82"/>
      <c r="F6" s="82"/>
      <c r="G6" s="82"/>
      <c r="H6" s="82"/>
      <c r="I6" s="82"/>
      <c r="J6" s="82"/>
      <c r="K6" s="82"/>
      <c r="L6" s="82"/>
    </row>
    <row r="7" spans="1:12" x14ac:dyDescent="0.2">
      <c r="A7" s="80"/>
      <c r="B7" s="82"/>
      <c r="C7" s="82"/>
      <c r="D7" s="82"/>
      <c r="E7" s="82"/>
      <c r="F7" s="82"/>
      <c r="G7" s="82"/>
      <c r="H7" s="82"/>
      <c r="I7" s="82"/>
      <c r="J7" s="82"/>
      <c r="K7" s="82"/>
      <c r="L7" s="82"/>
    </row>
    <row r="8" spans="1:12" x14ac:dyDescent="0.2">
      <c r="A8" s="80"/>
      <c r="B8" s="82"/>
      <c r="C8" s="82"/>
      <c r="D8" s="82"/>
      <c r="E8" s="82"/>
      <c r="F8" s="82"/>
      <c r="G8" s="82"/>
      <c r="H8" s="82"/>
      <c r="I8" s="82"/>
      <c r="J8" s="82"/>
      <c r="K8" s="82"/>
      <c r="L8" s="82"/>
    </row>
    <row r="9" spans="1:12" x14ac:dyDescent="0.2">
      <c r="A9" s="80"/>
      <c r="B9" s="82"/>
      <c r="C9" s="82"/>
      <c r="D9" s="82"/>
      <c r="E9" s="82"/>
      <c r="F9" s="82"/>
      <c r="G9" s="82"/>
      <c r="H9" s="82"/>
      <c r="I9" s="82"/>
      <c r="J9" s="82"/>
      <c r="K9" s="82"/>
      <c r="L9" s="82"/>
    </row>
    <row r="10" spans="1:12" x14ac:dyDescent="0.2">
      <c r="A10" s="80"/>
      <c r="B10" s="82"/>
      <c r="C10" s="82"/>
      <c r="D10" s="82"/>
      <c r="E10" s="82"/>
      <c r="F10" s="82"/>
      <c r="G10" s="82"/>
      <c r="H10" s="82"/>
      <c r="I10" s="82"/>
      <c r="J10" s="82"/>
      <c r="K10" s="82"/>
      <c r="L10" s="82"/>
    </row>
    <row r="11" spans="1:12" x14ac:dyDescent="0.2">
      <c r="A11" s="80"/>
      <c r="B11" s="82"/>
      <c r="C11" s="82"/>
      <c r="D11" s="82"/>
      <c r="E11" s="82"/>
      <c r="F11" s="82"/>
      <c r="G11" s="82"/>
      <c r="H11" s="82"/>
      <c r="I11" s="82"/>
      <c r="J11" s="82"/>
      <c r="K11" s="82"/>
      <c r="L11" s="82"/>
    </row>
    <row r="12" spans="1:12" x14ac:dyDescent="0.2">
      <c r="A12" s="80"/>
      <c r="B12" s="82"/>
      <c r="C12" s="82"/>
      <c r="D12" s="82"/>
      <c r="E12" s="82"/>
      <c r="F12" s="82"/>
      <c r="G12" s="82"/>
      <c r="H12" s="82"/>
      <c r="I12" s="82"/>
      <c r="J12" s="82"/>
      <c r="K12" s="82"/>
      <c r="L12" s="82"/>
    </row>
    <row r="13" spans="1:12" x14ac:dyDescent="0.2">
      <c r="A13" s="80"/>
      <c r="B13" s="81"/>
      <c r="C13" s="82"/>
      <c r="D13" s="81"/>
      <c r="E13" s="81"/>
      <c r="F13" s="82"/>
      <c r="G13" s="81"/>
      <c r="H13" s="82"/>
      <c r="I13" s="82"/>
      <c r="J13" s="82"/>
      <c r="K13" s="82"/>
      <c r="L13" s="82"/>
    </row>
    <row r="14" spans="1:12" x14ac:dyDescent="0.2">
      <c r="A14" s="80"/>
      <c r="B14" s="81"/>
      <c r="C14" s="82"/>
      <c r="D14" s="81"/>
      <c r="E14" s="81"/>
      <c r="F14" s="82"/>
      <c r="G14" s="81"/>
      <c r="H14" s="82"/>
      <c r="I14" s="82"/>
      <c r="J14" s="82"/>
      <c r="K14" s="82"/>
      <c r="L14" s="82"/>
    </row>
    <row r="15" spans="1:12" x14ac:dyDescent="0.2">
      <c r="A15" s="80"/>
      <c r="B15" s="82"/>
      <c r="C15" s="82"/>
      <c r="D15" s="82"/>
      <c r="E15" s="82"/>
      <c r="F15" s="82"/>
      <c r="G15" s="82"/>
      <c r="H15" s="82"/>
      <c r="I15" s="82"/>
      <c r="J15" s="82"/>
      <c r="K15" s="82"/>
      <c r="L15" s="82"/>
    </row>
    <row r="16" spans="1:12" x14ac:dyDescent="0.2">
      <c r="A16" s="80"/>
      <c r="B16" s="82"/>
      <c r="C16" s="82"/>
      <c r="D16" s="82"/>
      <c r="E16" s="82"/>
      <c r="F16" s="82"/>
      <c r="G16" s="82"/>
      <c r="H16" s="82"/>
      <c r="I16" s="82"/>
      <c r="J16" s="82"/>
      <c r="K16" s="82"/>
      <c r="L16" s="82"/>
    </row>
    <row r="17" spans="1:12" x14ac:dyDescent="0.2">
      <c r="A17" s="80"/>
      <c r="B17" s="82"/>
      <c r="C17" s="82"/>
      <c r="D17" s="82"/>
      <c r="E17" s="82"/>
      <c r="F17" s="82"/>
      <c r="G17" s="82"/>
      <c r="H17" s="82"/>
      <c r="I17" s="82"/>
      <c r="J17" s="82"/>
      <c r="K17" s="82"/>
      <c r="L17" s="82"/>
    </row>
    <row r="18" spans="1:12" x14ac:dyDescent="0.2">
      <c r="A18" s="80"/>
      <c r="B18" s="82"/>
      <c r="C18" s="82"/>
      <c r="D18" s="82"/>
      <c r="E18" s="82"/>
      <c r="F18" s="82"/>
      <c r="G18" s="82"/>
      <c r="H18" s="82"/>
      <c r="I18" s="82"/>
      <c r="J18" s="82"/>
      <c r="K18" s="82"/>
      <c r="L18" s="82"/>
    </row>
    <row r="19" spans="1:12" x14ac:dyDescent="0.2">
      <c r="A19" s="80"/>
      <c r="B19" s="82"/>
      <c r="C19" s="82"/>
      <c r="D19" s="82"/>
      <c r="E19" s="82"/>
      <c r="F19" s="82"/>
      <c r="G19" s="82"/>
      <c r="H19" s="82"/>
      <c r="I19" s="82"/>
      <c r="J19" s="82"/>
      <c r="K19" s="82"/>
      <c r="L19" s="82"/>
    </row>
    <row r="20" spans="1:12" x14ac:dyDescent="0.2">
      <c r="A20" s="80"/>
      <c r="B20" s="82"/>
      <c r="C20" s="82"/>
      <c r="D20" s="82"/>
      <c r="E20" s="82"/>
      <c r="F20" s="82"/>
      <c r="G20" s="82"/>
      <c r="H20" s="82"/>
      <c r="I20" s="82"/>
      <c r="J20" s="82"/>
      <c r="K20" s="82"/>
      <c r="L20" s="82"/>
    </row>
    <row r="21" spans="1:12" x14ac:dyDescent="0.2">
      <c r="A21" s="80"/>
      <c r="B21" s="82"/>
      <c r="C21" s="82"/>
      <c r="D21" s="82"/>
      <c r="E21" s="82"/>
      <c r="F21" s="82"/>
      <c r="G21" s="82"/>
      <c r="H21" s="82"/>
      <c r="I21" s="82"/>
      <c r="J21" s="82"/>
      <c r="K21" s="82"/>
      <c r="L21" s="82"/>
    </row>
    <row r="22" spans="1:12" x14ac:dyDescent="0.2">
      <c r="A22" s="80"/>
      <c r="B22" s="82"/>
      <c r="C22" s="82"/>
      <c r="D22" s="82"/>
      <c r="E22" s="82"/>
      <c r="F22" s="82"/>
      <c r="G22" s="82"/>
      <c r="H22" s="82"/>
      <c r="I22" s="82"/>
      <c r="J22" s="82"/>
      <c r="K22" s="82"/>
      <c r="L22" s="82"/>
    </row>
    <row r="23" spans="1:12" x14ac:dyDescent="0.2">
      <c r="A23" s="80"/>
      <c r="B23" s="82"/>
      <c r="C23" s="82"/>
      <c r="D23" s="82"/>
      <c r="E23" s="82"/>
      <c r="F23" s="82"/>
      <c r="G23" s="82"/>
      <c r="H23" s="82"/>
      <c r="I23" s="82"/>
      <c r="J23" s="82"/>
      <c r="K23" s="82"/>
      <c r="L23" s="82"/>
    </row>
    <row r="24" spans="1:12" x14ac:dyDescent="0.2">
      <c r="A24" s="80"/>
      <c r="B24" s="82"/>
      <c r="C24" s="82"/>
      <c r="D24" s="82"/>
      <c r="E24" s="82"/>
      <c r="F24" s="82"/>
      <c r="G24" s="82"/>
      <c r="H24" s="82"/>
      <c r="I24" s="82"/>
      <c r="J24" s="82"/>
      <c r="K24" s="82"/>
      <c r="L24" s="82"/>
    </row>
    <row r="25" spans="1:12" x14ac:dyDescent="0.2">
      <c r="A25" s="80"/>
      <c r="B25" s="82"/>
      <c r="C25" s="82"/>
      <c r="D25" s="82"/>
      <c r="E25" s="82"/>
      <c r="F25" s="82"/>
      <c r="G25" s="82"/>
      <c r="H25" s="82"/>
      <c r="I25" s="82"/>
      <c r="J25" s="82"/>
      <c r="K25" s="82"/>
      <c r="L25" s="82"/>
    </row>
    <row r="26" spans="1:12" x14ac:dyDescent="0.2">
      <c r="A26" s="80"/>
      <c r="B26" s="82"/>
      <c r="C26" s="82"/>
      <c r="D26" s="82"/>
      <c r="E26" s="82"/>
      <c r="F26" s="82"/>
      <c r="G26" s="82"/>
      <c r="H26" s="82"/>
      <c r="I26" s="82"/>
      <c r="J26" s="82"/>
      <c r="K26" s="82"/>
      <c r="L26" s="82"/>
    </row>
    <row r="27" spans="1:12" x14ac:dyDescent="0.2">
      <c r="A27" s="80"/>
      <c r="B27" s="82"/>
      <c r="C27" s="82"/>
      <c r="D27" s="82"/>
      <c r="E27" s="82"/>
      <c r="F27" s="82"/>
      <c r="G27" s="82"/>
      <c r="H27" s="82"/>
      <c r="I27" s="82"/>
      <c r="J27" s="82"/>
      <c r="K27" s="82"/>
      <c r="L27" s="82"/>
    </row>
    <row r="28" spans="1:12" x14ac:dyDescent="0.2">
      <c r="A28" s="80"/>
      <c r="B28" s="82"/>
      <c r="C28" s="82"/>
      <c r="D28" s="82"/>
      <c r="E28" s="82"/>
      <c r="F28" s="82"/>
      <c r="G28" s="82"/>
      <c r="H28" s="82"/>
      <c r="I28" s="82"/>
      <c r="J28" s="82"/>
      <c r="K28" s="82"/>
      <c r="L28" s="82"/>
    </row>
    <row r="29" spans="1:12" x14ac:dyDescent="0.2">
      <c r="A29" s="80"/>
      <c r="B29" s="82"/>
      <c r="C29" s="82"/>
      <c r="D29" s="82"/>
      <c r="E29" s="82"/>
      <c r="F29" s="82"/>
      <c r="G29" s="82"/>
      <c r="H29" s="82"/>
      <c r="I29" s="82"/>
      <c r="J29" s="82"/>
      <c r="K29" s="82"/>
      <c r="L29" s="82"/>
    </row>
    <row r="30" spans="1:12" x14ac:dyDescent="0.2">
      <c r="A30" s="80"/>
      <c r="B30" s="82"/>
      <c r="C30" s="82"/>
      <c r="D30" s="82"/>
      <c r="E30" s="82"/>
      <c r="F30" s="82"/>
      <c r="G30" s="82"/>
      <c r="H30" s="82"/>
      <c r="I30" s="82"/>
      <c r="J30" s="82"/>
      <c r="K30" s="82"/>
      <c r="L30" s="82"/>
    </row>
    <row r="31" spans="1:12" x14ac:dyDescent="0.2">
      <c r="A31" s="80"/>
      <c r="B31" s="82"/>
      <c r="C31" s="82"/>
      <c r="D31" s="82"/>
      <c r="E31" s="82"/>
      <c r="F31" s="82"/>
      <c r="G31" s="82"/>
      <c r="H31" s="82"/>
      <c r="I31" s="82"/>
      <c r="J31" s="82"/>
      <c r="K31" s="82"/>
      <c r="L31" s="82"/>
    </row>
    <row r="32" spans="1:12" x14ac:dyDescent="0.2">
      <c r="A32" s="80"/>
      <c r="B32" s="82"/>
      <c r="C32" s="82"/>
      <c r="D32" s="82"/>
      <c r="E32" s="82"/>
      <c r="F32" s="82"/>
      <c r="G32" s="82"/>
      <c r="H32" s="82"/>
      <c r="I32" s="82"/>
      <c r="J32" s="82"/>
      <c r="K32" s="82"/>
      <c r="L32" s="82"/>
    </row>
    <row r="33" spans="1:12" x14ac:dyDescent="0.2">
      <c r="A33" s="80"/>
      <c r="B33" s="82"/>
      <c r="C33" s="82"/>
      <c r="D33" s="82"/>
      <c r="E33" s="82"/>
      <c r="F33" s="82"/>
      <c r="G33" s="82"/>
      <c r="H33" s="82"/>
      <c r="I33" s="82"/>
      <c r="J33" s="82"/>
      <c r="K33" s="82"/>
      <c r="L33" s="82"/>
    </row>
    <row r="34" spans="1:12" x14ac:dyDescent="0.2">
      <c r="A34" s="80"/>
      <c r="B34" s="82"/>
      <c r="C34" s="82"/>
      <c r="D34" s="82"/>
      <c r="E34" s="82"/>
      <c r="F34" s="82"/>
      <c r="G34" s="82"/>
      <c r="H34" s="82"/>
      <c r="I34" s="82"/>
      <c r="J34" s="82"/>
      <c r="K34" s="82"/>
      <c r="L34" s="82"/>
    </row>
    <row r="35" spans="1:12" x14ac:dyDescent="0.2">
      <c r="A35" s="80"/>
      <c r="B35" s="82"/>
      <c r="C35" s="82"/>
      <c r="D35" s="82"/>
      <c r="E35" s="82"/>
      <c r="F35" s="82"/>
      <c r="G35" s="82"/>
      <c r="H35" s="82"/>
      <c r="I35" s="82"/>
      <c r="J35" s="82"/>
      <c r="K35" s="82"/>
      <c r="L35" s="82"/>
    </row>
    <row r="36" spans="1:12" x14ac:dyDescent="0.2">
      <c r="A36" s="80"/>
      <c r="B36" s="82"/>
      <c r="C36" s="82"/>
      <c r="D36" s="82"/>
      <c r="E36" s="82"/>
      <c r="F36" s="82"/>
      <c r="G36" s="82"/>
      <c r="H36" s="82"/>
      <c r="I36" s="82"/>
      <c r="J36" s="82"/>
      <c r="K36" s="82"/>
      <c r="L36" s="82"/>
    </row>
    <row r="37" spans="1:12" x14ac:dyDescent="0.2">
      <c r="A37" s="80"/>
      <c r="B37" s="82"/>
      <c r="C37" s="82"/>
      <c r="D37" s="82"/>
      <c r="E37" s="82"/>
      <c r="F37" s="82"/>
      <c r="G37" s="82"/>
      <c r="H37" s="82"/>
      <c r="I37" s="82"/>
      <c r="J37" s="82"/>
      <c r="K37" s="82"/>
      <c r="L37" s="82"/>
    </row>
    <row r="38" spans="1:12" x14ac:dyDescent="0.2">
      <c r="A38" s="80"/>
      <c r="B38" s="82"/>
      <c r="C38" s="82"/>
      <c r="D38" s="82"/>
      <c r="E38" s="82"/>
      <c r="F38" s="82"/>
      <c r="G38" s="82"/>
      <c r="H38" s="82"/>
      <c r="I38" s="82"/>
      <c r="J38" s="82"/>
      <c r="K38" s="82"/>
      <c r="L38" s="82"/>
    </row>
    <row r="39" spans="1:12" x14ac:dyDescent="0.2">
      <c r="A39" s="80"/>
      <c r="B39" s="82"/>
      <c r="C39" s="82"/>
      <c r="D39" s="82"/>
      <c r="E39" s="82"/>
      <c r="F39" s="82"/>
      <c r="G39" s="82"/>
      <c r="H39" s="82"/>
      <c r="I39" s="82"/>
      <c r="J39" s="82"/>
      <c r="K39" s="82"/>
      <c r="L39" s="82"/>
    </row>
    <row r="40" spans="1:12" x14ac:dyDescent="0.2">
      <c r="A40" s="80"/>
      <c r="B40" s="82"/>
      <c r="C40" s="82"/>
      <c r="D40" s="82"/>
      <c r="E40" s="82"/>
      <c r="F40" s="82"/>
      <c r="G40" s="82"/>
      <c r="H40" s="82"/>
      <c r="I40" s="82"/>
      <c r="J40" s="82"/>
      <c r="K40" s="82"/>
      <c r="L40" s="82"/>
    </row>
    <row r="41" spans="1:12" x14ac:dyDescent="0.2">
      <c r="A41" s="80"/>
      <c r="B41" s="82"/>
      <c r="C41" s="82"/>
      <c r="D41" s="82"/>
      <c r="E41" s="82"/>
      <c r="F41" s="82"/>
      <c r="G41" s="82"/>
      <c r="H41" s="82"/>
      <c r="I41" s="82"/>
      <c r="J41" s="82"/>
      <c r="K41" s="82"/>
      <c r="L41" s="82"/>
    </row>
    <row r="42" spans="1:12" x14ac:dyDescent="0.2">
      <c r="A42" s="80"/>
      <c r="B42" s="82"/>
      <c r="C42" s="82"/>
      <c r="D42" s="82"/>
      <c r="E42" s="82"/>
      <c r="F42" s="82"/>
      <c r="G42" s="82"/>
      <c r="H42" s="82"/>
      <c r="I42" s="82"/>
      <c r="J42" s="82"/>
      <c r="K42" s="82"/>
      <c r="L42" s="82"/>
    </row>
    <row r="43" spans="1:12" x14ac:dyDescent="0.2">
      <c r="A43" s="80"/>
      <c r="B43" s="82"/>
      <c r="C43" s="82"/>
      <c r="D43" s="82"/>
      <c r="E43" s="82"/>
      <c r="F43" s="82"/>
      <c r="G43" s="82"/>
      <c r="H43" s="82"/>
      <c r="I43" s="82"/>
      <c r="J43" s="82"/>
      <c r="K43" s="82"/>
      <c r="L43" s="82"/>
    </row>
    <row r="44" spans="1:12" x14ac:dyDescent="0.2">
      <c r="A44" s="80"/>
      <c r="B44" s="82"/>
      <c r="C44" s="82"/>
      <c r="D44" s="82"/>
      <c r="E44" s="82"/>
      <c r="F44" s="82"/>
      <c r="G44" s="82"/>
      <c r="H44" s="82"/>
      <c r="I44" s="82"/>
      <c r="J44" s="82"/>
      <c r="K44" s="82"/>
      <c r="L44" s="82"/>
    </row>
    <row r="45" spans="1:12" x14ac:dyDescent="0.2">
      <c r="A45" s="80"/>
      <c r="B45" s="82"/>
      <c r="C45" s="82"/>
      <c r="D45" s="82"/>
      <c r="E45" s="82"/>
      <c r="F45" s="82"/>
      <c r="G45" s="82"/>
      <c r="H45" s="82"/>
      <c r="I45" s="82"/>
      <c r="J45" s="82"/>
      <c r="K45" s="82"/>
      <c r="L45" s="82"/>
    </row>
    <row r="46" spans="1:12" x14ac:dyDescent="0.2">
      <c r="A46" s="80"/>
      <c r="B46" s="82"/>
      <c r="C46" s="82"/>
      <c r="D46" s="82"/>
      <c r="E46" s="82"/>
      <c r="F46" s="82"/>
      <c r="G46" s="82"/>
      <c r="H46" s="82"/>
      <c r="I46" s="82"/>
      <c r="J46" s="82"/>
      <c r="K46" s="82"/>
      <c r="L46" s="82"/>
    </row>
    <row r="47" spans="1:12" x14ac:dyDescent="0.2">
      <c r="A47" s="80"/>
      <c r="B47" s="82"/>
      <c r="C47" s="82"/>
      <c r="D47" s="82"/>
      <c r="E47" s="82"/>
      <c r="F47" s="82"/>
      <c r="G47" s="82"/>
      <c r="H47" s="82"/>
      <c r="I47" s="82"/>
      <c r="J47" s="82"/>
      <c r="K47" s="82"/>
      <c r="L47" s="82"/>
    </row>
    <row r="48" spans="1:12" x14ac:dyDescent="0.2">
      <c r="A48" s="80"/>
      <c r="B48" s="81"/>
      <c r="C48" s="81"/>
      <c r="D48" s="81"/>
      <c r="E48" s="81"/>
      <c r="F48" s="81"/>
      <c r="G48" s="81"/>
      <c r="H48" s="82"/>
      <c r="I48" s="82"/>
      <c r="J48" s="82"/>
      <c r="K48" s="82"/>
      <c r="L48" s="82"/>
    </row>
    <row r="49" spans="1:12" x14ac:dyDescent="0.2">
      <c r="A49" s="80"/>
      <c r="B49" s="82"/>
      <c r="C49" s="82"/>
      <c r="D49" s="82"/>
      <c r="E49" s="82"/>
      <c r="F49" s="82"/>
      <c r="G49" s="82"/>
      <c r="H49" s="82"/>
      <c r="I49" s="82"/>
      <c r="J49" s="82"/>
      <c r="K49" s="82"/>
      <c r="L49" s="82"/>
    </row>
    <row r="50" spans="1:12" x14ac:dyDescent="0.2">
      <c r="A50" s="80"/>
      <c r="B50" s="82"/>
      <c r="C50" s="82"/>
      <c r="D50" s="82"/>
      <c r="E50" s="82"/>
      <c r="F50" s="82"/>
      <c r="G50" s="82"/>
      <c r="H50" s="82"/>
      <c r="I50" s="82"/>
      <c r="J50" s="82"/>
      <c r="K50" s="82"/>
      <c r="L50" s="82"/>
    </row>
    <row r="51" spans="1:12" x14ac:dyDescent="0.2">
      <c r="A51" s="80"/>
      <c r="B51" s="82"/>
      <c r="C51" s="82"/>
      <c r="D51" s="82"/>
      <c r="E51" s="82"/>
      <c r="F51" s="82"/>
      <c r="G51" s="82"/>
      <c r="H51" s="82"/>
      <c r="I51" s="82"/>
      <c r="J51" s="82"/>
      <c r="K51" s="82"/>
      <c r="L51" s="82"/>
    </row>
    <row r="52" spans="1:12" x14ac:dyDescent="0.2">
      <c r="A52" s="80"/>
      <c r="B52" s="81"/>
      <c r="C52" s="81"/>
      <c r="D52" s="81"/>
      <c r="E52" s="81"/>
      <c r="F52" s="81"/>
      <c r="G52" s="81"/>
      <c r="H52" s="81"/>
      <c r="I52" s="81"/>
      <c r="J52" s="81"/>
      <c r="K52" s="81"/>
      <c r="L52" s="81"/>
    </row>
    <row r="53" spans="1:12" x14ac:dyDescent="0.2">
      <c r="A53" s="80"/>
      <c r="B53" s="82"/>
      <c r="C53" s="82"/>
      <c r="D53" s="82"/>
      <c r="E53" s="82"/>
      <c r="F53" s="82"/>
      <c r="G53" s="82"/>
      <c r="H53" s="82"/>
      <c r="I53" s="82"/>
      <c r="J53" s="82"/>
      <c r="K53" s="82"/>
      <c r="L53" s="82"/>
    </row>
    <row r="54" spans="1:12" x14ac:dyDescent="0.2">
      <c r="A54" s="80"/>
      <c r="B54" s="82"/>
      <c r="C54" s="82"/>
      <c r="D54" s="82"/>
      <c r="E54" s="82"/>
      <c r="F54" s="82"/>
      <c r="G54" s="82"/>
      <c r="H54" s="82"/>
      <c r="I54" s="82"/>
      <c r="J54" s="82"/>
      <c r="K54" s="82"/>
      <c r="L54" s="82"/>
    </row>
    <row r="55" spans="1:12" x14ac:dyDescent="0.2">
      <c r="A55" s="80"/>
      <c r="B55" s="82"/>
      <c r="C55" s="82"/>
      <c r="D55" s="82"/>
      <c r="E55" s="82"/>
      <c r="F55" s="82"/>
      <c r="G55" s="82"/>
      <c r="H55" s="82"/>
      <c r="I55" s="82"/>
      <c r="J55" s="82"/>
      <c r="K55" s="82"/>
      <c r="L55" s="82"/>
    </row>
    <row r="56" spans="1:12" x14ac:dyDescent="0.2">
      <c r="A56" s="80"/>
      <c r="B56" s="82"/>
      <c r="C56" s="82"/>
      <c r="D56" s="82"/>
      <c r="E56" s="82"/>
      <c r="F56" s="82"/>
      <c r="G56" s="82"/>
      <c r="H56" s="82"/>
      <c r="I56" s="82"/>
      <c r="J56" s="82"/>
      <c r="K56" s="82"/>
      <c r="L56" s="82"/>
    </row>
    <row r="57" spans="1:12" x14ac:dyDescent="0.2">
      <c r="A57" s="80"/>
      <c r="B57" s="82"/>
      <c r="C57" s="82"/>
      <c r="D57" s="82"/>
      <c r="E57" s="82"/>
      <c r="F57" s="82"/>
      <c r="G57" s="82"/>
      <c r="H57" s="82"/>
      <c r="I57" s="82"/>
      <c r="J57" s="82"/>
      <c r="K57" s="82"/>
      <c r="L57" s="82"/>
    </row>
    <row r="58" spans="1:12" x14ac:dyDescent="0.2">
      <c r="A58" s="80"/>
      <c r="B58" s="82"/>
      <c r="C58" s="82"/>
      <c r="D58" s="82"/>
      <c r="E58" s="82"/>
      <c r="F58" s="82"/>
      <c r="G58" s="82"/>
      <c r="H58" s="82"/>
      <c r="I58" s="82"/>
      <c r="J58" s="82"/>
      <c r="K58" s="82"/>
      <c r="L58" s="82"/>
    </row>
    <row r="59" spans="1:12" x14ac:dyDescent="0.2">
      <c r="A59" s="80"/>
      <c r="B59" s="82"/>
      <c r="C59" s="82"/>
      <c r="D59" s="82"/>
      <c r="E59" s="82"/>
      <c r="F59" s="82"/>
      <c r="G59" s="82"/>
      <c r="H59" s="82"/>
      <c r="I59" s="82"/>
      <c r="J59" s="82"/>
      <c r="K59" s="82"/>
      <c r="L59" s="82"/>
    </row>
    <row r="60" spans="1:12" x14ac:dyDescent="0.2">
      <c r="A60" s="80"/>
      <c r="B60" s="82"/>
      <c r="C60" s="82"/>
      <c r="D60" s="82"/>
      <c r="E60" s="82"/>
      <c r="F60" s="82"/>
      <c r="G60" s="82"/>
      <c r="H60" s="82"/>
      <c r="I60" s="82"/>
      <c r="J60" s="82"/>
      <c r="K60" s="82"/>
      <c r="L60" s="82"/>
    </row>
    <row r="61" spans="1:12" x14ac:dyDescent="0.2">
      <c r="A61" s="80"/>
      <c r="B61" s="81"/>
      <c r="C61" s="81"/>
      <c r="D61" s="81"/>
      <c r="E61" s="81"/>
      <c r="F61" s="81"/>
      <c r="G61" s="81"/>
      <c r="H61" s="81"/>
      <c r="I61" s="81"/>
      <c r="J61" s="81"/>
      <c r="K61" s="81"/>
      <c r="L61" s="81"/>
    </row>
    <row r="62" spans="1:12" x14ac:dyDescent="0.2">
      <c r="A62" s="80"/>
      <c r="B62" s="82"/>
      <c r="C62" s="82"/>
      <c r="D62" s="82"/>
      <c r="E62" s="82"/>
      <c r="F62" s="82"/>
      <c r="G62" s="82"/>
      <c r="H62" s="82"/>
      <c r="I62" s="82"/>
      <c r="J62" s="82"/>
      <c r="K62" s="82"/>
      <c r="L62" s="82"/>
    </row>
    <row r="63" spans="1:12" x14ac:dyDescent="0.2">
      <c r="A63" s="80"/>
      <c r="B63" s="82"/>
      <c r="C63" s="82"/>
      <c r="D63" s="82"/>
      <c r="E63" s="82"/>
      <c r="F63" s="82"/>
      <c r="G63" s="82"/>
      <c r="H63" s="82"/>
      <c r="I63" s="82"/>
      <c r="J63" s="82"/>
      <c r="K63" s="82"/>
      <c r="L63" s="82"/>
    </row>
    <row r="64" spans="1:12" x14ac:dyDescent="0.2">
      <c r="A64" s="80"/>
      <c r="B64" s="81"/>
      <c r="C64" s="81"/>
      <c r="D64" s="81"/>
      <c r="E64" s="81"/>
      <c r="F64" s="81"/>
      <c r="G64" s="81"/>
      <c r="H64" s="81"/>
      <c r="I64" s="81"/>
      <c r="J64" s="81"/>
      <c r="K64" s="82"/>
      <c r="L64" s="82"/>
    </row>
    <row r="65" spans="1:12" x14ac:dyDescent="0.2">
      <c r="A65" s="80"/>
      <c r="B65" s="82"/>
      <c r="C65" s="82"/>
      <c r="D65" s="82"/>
      <c r="E65" s="82"/>
      <c r="F65" s="82"/>
      <c r="G65" s="82"/>
      <c r="H65" s="82"/>
      <c r="I65" s="82"/>
      <c r="J65" s="82"/>
      <c r="K65" s="82"/>
      <c r="L65" s="82"/>
    </row>
    <row r="66" spans="1:12" x14ac:dyDescent="0.2">
      <c r="A66" s="80"/>
      <c r="B66" s="81"/>
      <c r="C66" s="81"/>
      <c r="D66" s="81"/>
      <c r="E66" s="81"/>
      <c r="F66" s="81"/>
      <c r="G66" s="81"/>
      <c r="H66" s="81"/>
      <c r="I66" s="81"/>
      <c r="J66" s="81"/>
      <c r="K66" s="81"/>
      <c r="L66" s="81"/>
    </row>
    <row r="67" spans="1:12" x14ac:dyDescent="0.2">
      <c r="A67" s="80"/>
      <c r="B67" s="81"/>
      <c r="C67" s="81"/>
      <c r="D67" s="81"/>
      <c r="E67" s="81"/>
      <c r="F67" s="81"/>
      <c r="G67" s="81"/>
      <c r="H67" s="81"/>
      <c r="I67" s="81"/>
      <c r="J67" s="81"/>
      <c r="K67" s="81"/>
      <c r="L67" s="81"/>
    </row>
    <row r="68" spans="1:12" x14ac:dyDescent="0.2">
      <c r="A68" s="80"/>
      <c r="B68" s="81"/>
      <c r="C68" s="81"/>
      <c r="D68" s="81"/>
      <c r="E68" s="81"/>
      <c r="F68" s="81"/>
      <c r="G68" s="81"/>
      <c r="H68" s="81"/>
      <c r="I68" s="81"/>
      <c r="J68" s="81"/>
      <c r="K68" s="82"/>
      <c r="L68" s="82"/>
    </row>
    <row r="69" spans="1:12" x14ac:dyDescent="0.2">
      <c r="A69" s="80"/>
      <c r="B69" s="81"/>
      <c r="C69" s="81"/>
      <c r="D69" s="81"/>
      <c r="E69" s="81"/>
      <c r="F69" s="81"/>
      <c r="G69" s="81"/>
      <c r="H69" s="81"/>
      <c r="I69" s="81"/>
      <c r="J69" s="81"/>
      <c r="K69" s="82"/>
      <c r="L69" s="82"/>
    </row>
    <row r="70" spans="1:12" x14ac:dyDescent="0.2">
      <c r="A70" s="80"/>
      <c r="B70" s="82"/>
      <c r="C70" s="82"/>
      <c r="D70" s="82"/>
      <c r="E70" s="82"/>
      <c r="F70" s="82"/>
      <c r="G70" s="82"/>
      <c r="H70" s="82"/>
      <c r="I70" s="82"/>
      <c r="J70" s="82"/>
      <c r="K70" s="82"/>
      <c r="L70" s="82"/>
    </row>
    <row r="71" spans="1:12" x14ac:dyDescent="0.2">
      <c r="A71" s="80"/>
      <c r="B71" s="81"/>
      <c r="C71" s="81"/>
      <c r="D71" s="81"/>
      <c r="E71" s="81"/>
      <c r="F71" s="81"/>
      <c r="G71" s="81"/>
      <c r="H71" s="81"/>
      <c r="I71" s="81"/>
      <c r="J71" s="81"/>
      <c r="K71" s="81"/>
      <c r="L71" s="81"/>
    </row>
    <row r="72" spans="1:12" x14ac:dyDescent="0.2">
      <c r="A72" s="80"/>
      <c r="B72" s="81"/>
      <c r="C72" s="81"/>
      <c r="D72" s="81"/>
      <c r="E72" s="81"/>
      <c r="F72" s="81"/>
      <c r="G72" s="81"/>
      <c r="H72" s="81"/>
      <c r="I72" s="81"/>
      <c r="J72" s="81"/>
      <c r="K72" s="81"/>
      <c r="L72" s="81"/>
    </row>
    <row r="73" spans="1:12" x14ac:dyDescent="0.2">
      <c r="A73" s="80"/>
      <c r="B73" s="81"/>
      <c r="C73" s="81"/>
      <c r="D73" s="81"/>
      <c r="E73" s="81"/>
      <c r="F73" s="81"/>
      <c r="G73" s="81"/>
      <c r="H73" s="81"/>
      <c r="I73" s="81"/>
      <c r="J73" s="81"/>
      <c r="K73" s="81"/>
      <c r="L73" s="81"/>
    </row>
    <row r="74" spans="1:12" x14ac:dyDescent="0.2">
      <c r="A74" s="80"/>
      <c r="B74" s="81"/>
      <c r="C74" s="81"/>
      <c r="D74" s="81"/>
      <c r="E74" s="81"/>
      <c r="F74" s="81"/>
      <c r="G74" s="81"/>
      <c r="H74" s="81"/>
      <c r="I74" s="81"/>
      <c r="J74" s="81"/>
      <c r="K74" s="81"/>
      <c r="L74" s="81"/>
    </row>
    <row r="75" spans="1:12" x14ac:dyDescent="0.2">
      <c r="A75" s="80"/>
      <c r="B75" s="81"/>
      <c r="C75" s="81"/>
      <c r="D75" s="81"/>
      <c r="E75" s="81"/>
      <c r="F75" s="81"/>
      <c r="G75" s="81"/>
      <c r="H75" s="81"/>
      <c r="I75" s="81"/>
      <c r="J75" s="81"/>
      <c r="K75" s="81"/>
      <c r="L75" s="81"/>
    </row>
    <row r="76" spans="1:12" x14ac:dyDescent="0.2">
      <c r="A76" s="80"/>
      <c r="B76" s="81"/>
      <c r="C76" s="81"/>
      <c r="D76" s="81"/>
      <c r="E76" s="81"/>
      <c r="F76" s="81"/>
      <c r="G76" s="81"/>
      <c r="H76" s="81"/>
      <c r="I76" s="81"/>
      <c r="J76" s="81"/>
      <c r="K76" s="81"/>
      <c r="L76" s="81"/>
    </row>
    <row r="77" spans="1:12" x14ac:dyDescent="0.2">
      <c r="A77" s="80"/>
      <c r="B77" s="81"/>
      <c r="C77" s="81"/>
      <c r="D77" s="81"/>
      <c r="E77" s="81"/>
      <c r="F77" s="81"/>
      <c r="G77" s="81"/>
      <c r="H77" s="81"/>
      <c r="I77" s="81"/>
      <c r="J77" s="81"/>
      <c r="K77" s="81"/>
      <c r="L77" s="81"/>
    </row>
    <row r="78" spans="1:12" x14ac:dyDescent="0.2">
      <c r="A78" s="80"/>
      <c r="B78" s="81"/>
      <c r="C78" s="81"/>
      <c r="D78" s="81"/>
      <c r="E78" s="81"/>
      <c r="F78" s="81"/>
      <c r="G78" s="81"/>
      <c r="H78" s="81"/>
      <c r="I78" s="81"/>
      <c r="J78" s="81"/>
      <c r="K78" s="81"/>
      <c r="L78" s="81"/>
    </row>
    <row r="79" spans="1:12" x14ac:dyDescent="0.2">
      <c r="A79" s="80"/>
      <c r="B79" s="81"/>
      <c r="C79" s="81"/>
      <c r="D79" s="81"/>
      <c r="E79" s="81"/>
      <c r="F79" s="81"/>
      <c r="G79" s="81"/>
      <c r="H79" s="81"/>
      <c r="I79" s="81"/>
      <c r="J79" s="81"/>
      <c r="K79" s="81"/>
      <c r="L79" s="81"/>
    </row>
    <row r="80" spans="1:12" x14ac:dyDescent="0.2">
      <c r="A80" s="80"/>
      <c r="B80" s="81"/>
      <c r="C80" s="81"/>
      <c r="D80" s="81"/>
      <c r="E80" s="81"/>
      <c r="F80" s="81"/>
      <c r="G80" s="81"/>
      <c r="H80" s="81"/>
      <c r="I80" s="81"/>
      <c r="J80" s="81"/>
      <c r="K80" s="81"/>
      <c r="L80" s="81"/>
    </row>
    <row r="81" spans="1:12" x14ac:dyDescent="0.2">
      <c r="A81" s="80"/>
      <c r="B81" s="81"/>
      <c r="C81" s="81"/>
      <c r="D81" s="81"/>
      <c r="E81" s="81"/>
      <c r="F81" s="81"/>
      <c r="G81" s="81"/>
      <c r="H81" s="81"/>
      <c r="I81" s="81"/>
      <c r="J81" s="81"/>
      <c r="K81" s="81"/>
      <c r="L81" s="81"/>
    </row>
    <row r="82" spans="1:12" x14ac:dyDescent="0.2">
      <c r="A82" s="80"/>
      <c r="B82" s="81"/>
      <c r="C82" s="81"/>
      <c r="D82" s="81"/>
      <c r="E82" s="81"/>
      <c r="F82" s="81"/>
      <c r="G82" s="81"/>
      <c r="H82" s="81"/>
      <c r="I82" s="81"/>
      <c r="J82" s="81"/>
      <c r="K82" s="81"/>
      <c r="L82" s="81"/>
    </row>
    <row r="83" spans="1:12" x14ac:dyDescent="0.2">
      <c r="A83" s="80"/>
      <c r="B83" s="81"/>
      <c r="C83" s="81"/>
      <c r="D83" s="81"/>
      <c r="E83" s="81"/>
      <c r="F83" s="81"/>
      <c r="G83" s="81"/>
      <c r="H83" s="81"/>
      <c r="I83" s="81"/>
      <c r="J83" s="81"/>
      <c r="K83" s="81"/>
      <c r="L83" s="81"/>
    </row>
    <row r="84" spans="1:12" x14ac:dyDescent="0.2">
      <c r="A84" s="80"/>
      <c r="B84" s="81"/>
      <c r="C84" s="81"/>
      <c r="D84" s="81"/>
      <c r="E84" s="81"/>
      <c r="F84" s="81"/>
      <c r="G84" s="81"/>
      <c r="H84" s="81"/>
      <c r="I84" s="81"/>
      <c r="J84" s="81"/>
      <c r="K84" s="81"/>
      <c r="L84" s="81"/>
    </row>
    <row r="85" spans="1:12" x14ac:dyDescent="0.2">
      <c r="A85" s="80"/>
      <c r="B85" s="81"/>
      <c r="C85" s="81"/>
      <c r="D85" s="81"/>
      <c r="E85" s="81"/>
      <c r="F85" s="81"/>
      <c r="G85" s="81"/>
      <c r="H85" s="81"/>
      <c r="I85" s="81"/>
      <c r="J85" s="81"/>
      <c r="K85" s="81"/>
      <c r="L85" s="81"/>
    </row>
    <row r="86" spans="1:12" x14ac:dyDescent="0.2">
      <c r="A86" s="80"/>
      <c r="B86" s="81"/>
      <c r="C86" s="81"/>
      <c r="D86" s="81"/>
      <c r="E86" s="81"/>
      <c r="F86" s="81"/>
      <c r="G86" s="81"/>
      <c r="H86" s="81"/>
      <c r="I86" s="81"/>
      <c r="J86" s="81"/>
      <c r="K86" s="81"/>
      <c r="L86" s="81"/>
    </row>
    <row r="87" spans="1:12" x14ac:dyDescent="0.2">
      <c r="A87" s="80"/>
      <c r="B87" s="81"/>
      <c r="C87" s="81"/>
      <c r="D87" s="81"/>
      <c r="E87" s="81"/>
      <c r="F87" s="81"/>
      <c r="G87" s="81"/>
      <c r="H87" s="81"/>
      <c r="I87" s="81"/>
      <c r="J87" s="81"/>
      <c r="K87" s="81"/>
      <c r="L87" s="81"/>
    </row>
    <row r="88" spans="1:12" x14ac:dyDescent="0.2">
      <c r="A88" s="80"/>
      <c r="B88" s="81"/>
      <c r="C88" s="81"/>
      <c r="D88" s="81"/>
      <c r="E88" s="81"/>
      <c r="F88" s="81"/>
      <c r="G88" s="81"/>
      <c r="H88" s="81"/>
      <c r="I88" s="81"/>
      <c r="J88" s="81"/>
      <c r="K88" s="81"/>
      <c r="L88" s="81"/>
    </row>
    <row r="89" spans="1:12" x14ac:dyDescent="0.2">
      <c r="A89" s="80"/>
      <c r="B89" s="81"/>
      <c r="C89" s="81"/>
      <c r="D89" s="81"/>
      <c r="E89" s="81"/>
      <c r="F89" s="81"/>
      <c r="G89" s="81"/>
      <c r="H89" s="81"/>
      <c r="I89" s="81"/>
      <c r="J89" s="81"/>
      <c r="K89" s="81"/>
      <c r="L89" s="81"/>
    </row>
    <row r="90" spans="1:12" x14ac:dyDescent="0.2">
      <c r="A90" s="80"/>
      <c r="B90" s="81"/>
      <c r="C90" s="81"/>
      <c r="D90" s="81"/>
      <c r="E90" s="81"/>
      <c r="F90" s="81"/>
      <c r="G90" s="81"/>
      <c r="H90" s="81"/>
      <c r="I90" s="81"/>
      <c r="J90" s="81"/>
      <c r="K90" s="81"/>
      <c r="L90" s="81"/>
    </row>
    <row r="91" spans="1:12" x14ac:dyDescent="0.2">
      <c r="A91" s="80"/>
      <c r="B91" s="81"/>
      <c r="C91" s="81"/>
      <c r="D91" s="81"/>
      <c r="E91" s="81"/>
      <c r="F91" s="81"/>
      <c r="G91" s="81"/>
      <c r="H91" s="81"/>
      <c r="I91" s="81"/>
      <c r="J91" s="81"/>
      <c r="K91" s="81"/>
      <c r="L91" s="81"/>
    </row>
    <row r="92" spans="1:12" x14ac:dyDescent="0.2">
      <c r="A92" s="80"/>
      <c r="B92" s="81"/>
      <c r="C92" s="81"/>
      <c r="D92" s="81"/>
      <c r="E92" s="81"/>
      <c r="F92" s="81"/>
      <c r="G92" s="81"/>
      <c r="H92" s="81"/>
      <c r="I92" s="81"/>
      <c r="J92" s="81"/>
      <c r="K92" s="81"/>
      <c r="L92" s="81"/>
    </row>
    <row r="93" spans="1:12" x14ac:dyDescent="0.2">
      <c r="A93" s="80"/>
      <c r="B93" s="81"/>
      <c r="C93" s="81"/>
      <c r="D93" s="81"/>
      <c r="E93" s="81"/>
      <c r="F93" s="81"/>
      <c r="G93" s="81"/>
      <c r="H93" s="81"/>
      <c r="I93" s="81"/>
      <c r="J93" s="81"/>
      <c r="K93" s="81"/>
      <c r="L93" s="81"/>
    </row>
    <row r="94" spans="1:12" x14ac:dyDescent="0.2">
      <c r="A94" s="80"/>
      <c r="B94" s="81"/>
      <c r="C94" s="81"/>
      <c r="D94" s="81"/>
      <c r="E94" s="81"/>
      <c r="F94" s="81"/>
      <c r="G94" s="81"/>
      <c r="H94" s="81"/>
      <c r="I94" s="81"/>
      <c r="J94" s="81"/>
      <c r="K94" s="81"/>
      <c r="L94" s="81"/>
    </row>
    <row r="95" spans="1:12" x14ac:dyDescent="0.2">
      <c r="A95" s="80"/>
      <c r="B95" s="81"/>
      <c r="C95" s="81"/>
      <c r="D95" s="81"/>
      <c r="E95" s="81"/>
      <c r="F95" s="81"/>
      <c r="G95" s="81"/>
      <c r="H95" s="81"/>
      <c r="I95" s="81"/>
      <c r="J95" s="81"/>
      <c r="K95" s="81"/>
      <c r="L95" s="81"/>
    </row>
    <row r="96" spans="1:12" x14ac:dyDescent="0.2">
      <c r="A96" s="80"/>
      <c r="B96" s="81"/>
      <c r="C96" s="81"/>
      <c r="D96" s="81"/>
      <c r="E96" s="81"/>
      <c r="F96" s="81"/>
      <c r="G96" s="81"/>
      <c r="H96" s="81"/>
      <c r="I96" s="81"/>
      <c r="J96" s="81"/>
      <c r="K96" s="81"/>
      <c r="L96" s="81"/>
    </row>
    <row r="97" spans="1:12" x14ac:dyDescent="0.2">
      <c r="A97" s="80"/>
      <c r="B97" s="81"/>
      <c r="C97" s="81"/>
      <c r="D97" s="81"/>
      <c r="E97" s="81"/>
      <c r="F97" s="81"/>
      <c r="G97" s="81"/>
      <c r="H97" s="81"/>
      <c r="I97" s="81"/>
      <c r="J97" s="81"/>
      <c r="K97" s="81"/>
      <c r="L97" s="81"/>
    </row>
    <row r="98" spans="1:12" x14ac:dyDescent="0.2">
      <c r="A98" s="80"/>
      <c r="B98" s="81"/>
      <c r="C98" s="81"/>
      <c r="D98" s="81"/>
      <c r="E98" s="81"/>
      <c r="F98" s="81"/>
      <c r="G98" s="81"/>
      <c r="H98" s="81"/>
      <c r="I98" s="81"/>
      <c r="J98" s="81"/>
      <c r="K98" s="81"/>
      <c r="L98" s="81"/>
    </row>
    <row r="99" spans="1:12" x14ac:dyDescent="0.2">
      <c r="A99" s="80"/>
      <c r="B99" s="81"/>
      <c r="C99" s="81"/>
      <c r="D99" s="81"/>
      <c r="E99" s="81"/>
      <c r="F99" s="81"/>
      <c r="G99" s="81"/>
      <c r="H99" s="81"/>
      <c r="I99" s="81"/>
      <c r="J99" s="81"/>
      <c r="K99" s="81"/>
      <c r="L99" s="81"/>
    </row>
    <row r="100" spans="1:12" x14ac:dyDescent="0.2"/>
  </sheetData>
  <sheetProtection formatCells="0" formatColumns="0" formatRows="0"/>
  <dataValidations count="1">
    <dataValidation type="custom" allowBlank="1" showInputMessage="1" showErrorMessage="1" errorTitle="Separador decimal incorrecto" error="- Asegúrate estar usando TIKR desde el navegador Chrome o Edge (otros navegadores dan problemas)_x000a__x000a_- Revisa el vídeotutorial que tienes en Teachable: Sesión 13 - Solución problema frecuente: Separador decimal (ERROR #VALOR)" sqref="B3:L100" xr:uid="{6FC0E721-04A1-40AE-B08F-AF504CE6B07C}">
      <formula1>OR(ISNUMBER(B3), ISNUMBER(VALUE(B3)))</formula1>
    </dataValidation>
  </dataValidations>
  <pageMargins left="0.7" right="0.7" top="0.75" bottom="0.75" header="0.3" footer="0.3"/>
  <pageSetup paperSize="9"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809FE-A29F-47A5-A332-3B734E50F63C}">
  <sheetPr codeName="Hoja11"/>
  <dimension ref="A1:AO99"/>
  <sheetViews>
    <sheetView showGridLines="0" workbookViewId="0">
      <pane xSplit="1" ySplit="2" topLeftCell="B3" activePane="bottomRight" state="frozen"/>
      <selection pane="topRight" activeCell="B1" sqref="B1"/>
      <selection pane="bottomLeft" activeCell="A3" sqref="A3"/>
      <selection pane="bottomRight"/>
    </sheetView>
  </sheetViews>
  <sheetFormatPr baseColWidth="10" defaultColWidth="0" defaultRowHeight="15" x14ac:dyDescent="0.2"/>
  <cols>
    <col min="1" max="1" width="43.5" bestFit="1" customWidth="1"/>
    <col min="2" max="11" width="14.6640625" style="3" customWidth="1"/>
    <col min="12" max="12" width="14.6640625" style="3" hidden="1" customWidth="1"/>
    <col min="13" max="16384" width="11.5" hidden="1"/>
  </cols>
  <sheetData>
    <row r="1" spans="1:41" x14ac:dyDescent="0.2">
      <c r="A1" s="77"/>
      <c r="B1" s="79"/>
      <c r="C1" s="79"/>
      <c r="D1" s="79"/>
      <c r="E1" s="79"/>
      <c r="F1" s="79"/>
      <c r="G1" s="79"/>
      <c r="H1" s="79"/>
      <c r="I1" s="79"/>
      <c r="J1" s="79"/>
      <c r="K1" s="79"/>
      <c r="L1" s="79"/>
      <c r="M1" s="295"/>
      <c r="N1" s="295"/>
      <c r="O1" s="295"/>
      <c r="P1" s="295"/>
      <c r="Q1" s="295"/>
      <c r="R1" s="295"/>
      <c r="S1" s="295"/>
      <c r="T1" s="295"/>
      <c r="U1" s="295"/>
      <c r="V1" s="295"/>
      <c r="W1" s="295"/>
      <c r="X1" s="295"/>
      <c r="Y1" s="295"/>
      <c r="Z1" s="295"/>
      <c r="AA1" s="295"/>
      <c r="AB1" s="295"/>
      <c r="AC1" s="295"/>
      <c r="AD1" s="295"/>
      <c r="AE1" s="295"/>
      <c r="AF1" s="295"/>
      <c r="AG1" s="295"/>
      <c r="AH1" s="295"/>
      <c r="AI1" s="295"/>
      <c r="AJ1" s="295"/>
      <c r="AK1" s="295"/>
      <c r="AL1" s="295"/>
      <c r="AM1" s="295"/>
      <c r="AN1" s="295"/>
      <c r="AO1" s="295"/>
    </row>
    <row r="2" spans="1:41" x14ac:dyDescent="0.2">
      <c r="A2" s="77"/>
      <c r="B2" s="79"/>
      <c r="C2" s="79"/>
      <c r="D2" s="79"/>
      <c r="E2" s="79"/>
      <c r="F2" s="79"/>
      <c r="G2" s="79"/>
      <c r="H2" s="79"/>
      <c r="I2" s="79"/>
      <c r="J2" s="79"/>
      <c r="K2" s="79"/>
      <c r="L2" s="79"/>
    </row>
    <row r="3" spans="1:41" x14ac:dyDescent="0.2">
      <c r="A3" s="80"/>
      <c r="B3" s="81"/>
      <c r="C3" s="81"/>
      <c r="D3" s="81"/>
      <c r="E3" s="81"/>
      <c r="F3" s="81"/>
      <c r="G3" s="81"/>
      <c r="H3" s="81"/>
      <c r="I3" s="81"/>
      <c r="J3" s="81"/>
      <c r="K3" s="81"/>
      <c r="L3" s="81"/>
    </row>
    <row r="4" spans="1:41" x14ac:dyDescent="0.2">
      <c r="A4" s="80"/>
      <c r="B4" s="82"/>
      <c r="C4" s="82"/>
      <c r="D4" s="82"/>
      <c r="E4" s="82"/>
      <c r="F4" s="82"/>
      <c r="G4" s="82"/>
      <c r="H4" s="82"/>
      <c r="I4" s="82"/>
      <c r="J4" s="82"/>
      <c r="K4" s="82"/>
      <c r="L4" s="82"/>
    </row>
    <row r="5" spans="1:41" x14ac:dyDescent="0.2">
      <c r="A5" s="80"/>
      <c r="B5" s="82"/>
      <c r="C5" s="82"/>
      <c r="D5" s="82"/>
      <c r="E5" s="82"/>
      <c r="F5" s="82"/>
      <c r="G5" s="82"/>
      <c r="H5" s="82"/>
      <c r="I5" s="82"/>
      <c r="J5" s="82"/>
      <c r="K5" s="82"/>
      <c r="L5" s="82"/>
    </row>
    <row r="6" spans="1:41" x14ac:dyDescent="0.2">
      <c r="A6" s="80"/>
      <c r="B6" s="82"/>
      <c r="C6" s="82"/>
      <c r="D6" s="82"/>
      <c r="E6" s="82"/>
      <c r="F6" s="82"/>
      <c r="G6" s="82"/>
      <c r="H6" s="82"/>
      <c r="I6" s="82"/>
      <c r="J6" s="82"/>
      <c r="K6" s="82"/>
      <c r="L6" s="82"/>
    </row>
    <row r="7" spans="1:41" x14ac:dyDescent="0.2">
      <c r="A7" s="80"/>
      <c r="B7" s="82"/>
      <c r="C7" s="82"/>
      <c r="D7" s="82"/>
      <c r="E7" s="82"/>
      <c r="F7" s="82"/>
      <c r="G7" s="82"/>
      <c r="H7" s="82"/>
      <c r="I7" s="82"/>
      <c r="J7" s="82"/>
      <c r="K7" s="82"/>
      <c r="L7" s="82"/>
    </row>
    <row r="8" spans="1:41" x14ac:dyDescent="0.2">
      <c r="A8" s="80"/>
      <c r="B8" s="82"/>
      <c r="C8" s="82"/>
      <c r="D8" s="82"/>
      <c r="E8" s="82"/>
      <c r="F8" s="82"/>
      <c r="G8" s="82"/>
      <c r="H8" s="82"/>
      <c r="I8" s="82"/>
      <c r="J8" s="82"/>
      <c r="K8" s="82"/>
      <c r="L8" s="82"/>
    </row>
    <row r="9" spans="1:41" x14ac:dyDescent="0.2">
      <c r="A9" s="80"/>
      <c r="B9" s="82"/>
      <c r="C9" s="82"/>
      <c r="D9" s="82"/>
      <c r="E9" s="82"/>
      <c r="F9" s="82"/>
      <c r="G9" s="82"/>
      <c r="H9" s="82"/>
      <c r="I9" s="82"/>
      <c r="J9" s="82"/>
      <c r="K9" s="82"/>
      <c r="L9" s="82"/>
    </row>
    <row r="10" spans="1:41" x14ac:dyDescent="0.2">
      <c r="A10" s="80"/>
      <c r="B10" s="82"/>
      <c r="C10" s="82"/>
      <c r="D10" s="82"/>
      <c r="E10" s="82"/>
      <c r="F10" s="82"/>
      <c r="G10" s="82"/>
      <c r="H10" s="82"/>
      <c r="I10" s="82"/>
      <c r="J10" s="82"/>
      <c r="K10" s="82"/>
      <c r="L10" s="82"/>
    </row>
    <row r="11" spans="1:41" x14ac:dyDescent="0.2">
      <c r="A11" s="80"/>
      <c r="B11" s="82"/>
      <c r="C11" s="82"/>
      <c r="D11" s="82"/>
      <c r="E11" s="82"/>
      <c r="F11" s="82"/>
      <c r="G11" s="82"/>
      <c r="H11" s="82"/>
      <c r="I11" s="82"/>
      <c r="J11" s="82"/>
      <c r="K11" s="82"/>
      <c r="L11" s="82"/>
    </row>
    <row r="12" spans="1:41" x14ac:dyDescent="0.2">
      <c r="A12" s="80"/>
      <c r="B12" s="82"/>
      <c r="C12" s="82"/>
      <c r="D12" s="82"/>
      <c r="E12" s="82"/>
      <c r="F12" s="82"/>
      <c r="G12" s="82"/>
      <c r="H12" s="82"/>
      <c r="I12" s="82"/>
      <c r="J12" s="82"/>
      <c r="K12" s="82"/>
      <c r="L12" s="82"/>
    </row>
    <row r="13" spans="1:41" x14ac:dyDescent="0.2">
      <c r="A13" s="80"/>
      <c r="B13" s="81"/>
      <c r="C13" s="82"/>
      <c r="D13" s="81"/>
      <c r="E13" s="81"/>
      <c r="F13" s="82"/>
      <c r="G13" s="81"/>
      <c r="H13" s="82"/>
      <c r="I13" s="82"/>
      <c r="J13" s="82"/>
      <c r="K13" s="82"/>
      <c r="L13" s="82"/>
    </row>
    <row r="14" spans="1:41" x14ac:dyDescent="0.2">
      <c r="A14" s="80"/>
      <c r="B14" s="81"/>
      <c r="C14" s="82"/>
      <c r="D14" s="81"/>
      <c r="E14" s="81"/>
      <c r="F14" s="82"/>
      <c r="G14" s="81"/>
      <c r="H14" s="82"/>
      <c r="I14" s="82"/>
      <c r="J14" s="82"/>
      <c r="K14" s="82"/>
      <c r="L14" s="82"/>
    </row>
    <row r="15" spans="1:41" x14ac:dyDescent="0.2">
      <c r="A15" s="80"/>
      <c r="B15" s="82"/>
      <c r="C15" s="82"/>
      <c r="D15" s="82"/>
      <c r="E15" s="82"/>
      <c r="F15" s="82"/>
      <c r="G15" s="82"/>
      <c r="H15" s="82"/>
      <c r="I15" s="82"/>
      <c r="J15" s="82"/>
      <c r="K15" s="82"/>
      <c r="L15" s="82"/>
    </row>
    <row r="16" spans="1:41" x14ac:dyDescent="0.2">
      <c r="A16" s="80"/>
      <c r="B16" s="82"/>
      <c r="C16" s="82"/>
      <c r="D16" s="82"/>
      <c r="E16" s="82"/>
      <c r="F16" s="82"/>
      <c r="G16" s="82"/>
      <c r="H16" s="82"/>
      <c r="I16" s="82"/>
      <c r="J16" s="82"/>
      <c r="K16" s="82"/>
      <c r="L16" s="82"/>
    </row>
    <row r="17" spans="1:41" x14ac:dyDescent="0.2">
      <c r="A17" s="80"/>
      <c r="B17" s="82"/>
      <c r="C17" s="82"/>
      <c r="D17" s="82"/>
      <c r="E17" s="82"/>
      <c r="F17" s="82"/>
      <c r="G17" s="82"/>
      <c r="H17" s="82"/>
      <c r="I17" s="82"/>
      <c r="J17" s="82"/>
      <c r="K17" s="82"/>
      <c r="L17" s="82"/>
    </row>
    <row r="18" spans="1:41" x14ac:dyDescent="0.2">
      <c r="A18" s="80"/>
      <c r="B18" s="82"/>
      <c r="C18" s="82"/>
      <c r="D18" s="82"/>
      <c r="E18" s="82"/>
      <c r="F18" s="82"/>
      <c r="G18" s="82"/>
      <c r="H18" s="82"/>
      <c r="I18" s="82"/>
      <c r="J18" s="82"/>
      <c r="K18" s="82"/>
      <c r="L18" s="82"/>
    </row>
    <row r="19" spans="1:41" x14ac:dyDescent="0.2">
      <c r="A19" s="80"/>
      <c r="B19" s="82"/>
      <c r="C19" s="82"/>
      <c r="D19" s="82"/>
      <c r="E19" s="82"/>
      <c r="F19" s="82"/>
      <c r="G19" s="82"/>
      <c r="H19" s="82"/>
      <c r="I19" s="82"/>
      <c r="J19" s="82"/>
      <c r="K19" s="82"/>
      <c r="L19" s="82"/>
    </row>
    <row r="20" spans="1:41" x14ac:dyDescent="0.2">
      <c r="A20" s="80"/>
      <c r="B20" s="82"/>
      <c r="C20" s="82"/>
      <c r="D20" s="82"/>
      <c r="E20" s="82"/>
      <c r="F20" s="82"/>
      <c r="G20" s="82"/>
      <c r="H20" s="82"/>
      <c r="I20" s="82"/>
      <c r="J20" s="82"/>
      <c r="K20" s="82"/>
      <c r="L20" s="82"/>
    </row>
    <row r="21" spans="1:41" x14ac:dyDescent="0.2">
      <c r="A21" s="80"/>
      <c r="B21" s="82"/>
      <c r="C21" s="82"/>
      <c r="D21" s="82"/>
      <c r="E21" s="82"/>
      <c r="F21" s="82"/>
      <c r="G21" s="82"/>
      <c r="H21" s="82"/>
      <c r="I21" s="82"/>
      <c r="J21" s="82"/>
      <c r="K21" s="82"/>
      <c r="L21" s="82"/>
    </row>
    <row r="22" spans="1:41" x14ac:dyDescent="0.2">
      <c r="A22" s="80"/>
      <c r="B22" s="82"/>
      <c r="C22" s="82"/>
      <c r="D22" s="82"/>
      <c r="E22" s="82"/>
      <c r="F22" s="82"/>
      <c r="G22" s="82"/>
      <c r="H22" s="82"/>
      <c r="I22" s="82"/>
      <c r="J22" s="82"/>
      <c r="K22" s="82"/>
      <c r="L22" s="82"/>
    </row>
    <row r="23" spans="1:41" x14ac:dyDescent="0.2">
      <c r="A23" s="80"/>
      <c r="B23" s="82"/>
      <c r="C23" s="82"/>
      <c r="D23" s="82"/>
      <c r="E23" s="82"/>
      <c r="F23" s="82"/>
      <c r="G23" s="82"/>
      <c r="H23" s="82"/>
      <c r="I23" s="82"/>
      <c r="J23" s="82"/>
      <c r="K23" s="82"/>
      <c r="L23" s="82"/>
    </row>
    <row r="24" spans="1:41" x14ac:dyDescent="0.2">
      <c r="A24" s="80"/>
      <c r="B24" s="82"/>
      <c r="C24" s="82"/>
      <c r="D24" s="82"/>
      <c r="E24" s="82"/>
      <c r="F24" s="82"/>
      <c r="G24" s="82"/>
      <c r="H24" s="82"/>
      <c r="I24" s="82"/>
      <c r="J24" s="82"/>
      <c r="K24" s="82"/>
      <c r="L24" s="82"/>
    </row>
    <row r="25" spans="1:41" x14ac:dyDescent="0.2">
      <c r="A25" s="80"/>
      <c r="B25" s="82"/>
      <c r="C25" s="82"/>
      <c r="D25" s="82"/>
      <c r="E25" s="82"/>
      <c r="F25" s="82"/>
      <c r="G25" s="82"/>
      <c r="H25" s="82"/>
      <c r="I25" s="82"/>
      <c r="J25" s="82"/>
      <c r="K25" s="82"/>
      <c r="L25" s="82"/>
    </row>
    <row r="26" spans="1:41" x14ac:dyDescent="0.2">
      <c r="A26" s="80"/>
      <c r="B26" s="82"/>
      <c r="C26" s="82"/>
      <c r="D26" s="82"/>
      <c r="E26" s="82"/>
      <c r="F26" s="82"/>
      <c r="G26" s="82"/>
      <c r="H26" s="82"/>
      <c r="I26" s="82"/>
      <c r="J26" s="82"/>
      <c r="K26" s="82"/>
      <c r="L26" s="82"/>
      <c r="M26" s="296"/>
      <c r="N26" s="296"/>
      <c r="O26" s="296"/>
      <c r="P26" s="296"/>
      <c r="Q26" s="296"/>
      <c r="R26" s="296"/>
      <c r="S26" s="296"/>
      <c r="T26" s="296"/>
      <c r="U26" s="296"/>
      <c r="V26" s="296"/>
      <c r="W26" s="296"/>
      <c r="X26" s="296"/>
      <c r="Y26" s="296"/>
      <c r="Z26" s="296"/>
      <c r="AA26" s="296"/>
      <c r="AB26" s="296"/>
      <c r="AC26" s="296"/>
      <c r="AD26" s="296"/>
      <c r="AE26" s="296"/>
      <c r="AF26" s="296"/>
      <c r="AG26" s="296"/>
      <c r="AH26" s="296"/>
      <c r="AI26" s="296"/>
      <c r="AJ26" s="296"/>
      <c r="AK26" s="296"/>
      <c r="AL26" s="296"/>
      <c r="AM26" s="296"/>
      <c r="AN26" s="296"/>
      <c r="AO26" s="296"/>
    </row>
    <row r="27" spans="1:41" x14ac:dyDescent="0.2">
      <c r="A27" s="80"/>
      <c r="B27" s="82"/>
      <c r="C27" s="82"/>
      <c r="D27" s="82"/>
      <c r="E27" s="82"/>
      <c r="F27" s="82"/>
      <c r="G27" s="82"/>
      <c r="H27" s="82"/>
      <c r="I27" s="82"/>
      <c r="J27" s="82"/>
      <c r="K27" s="82"/>
      <c r="L27" s="82"/>
      <c r="M27" s="296"/>
      <c r="N27" s="296"/>
      <c r="O27" s="296"/>
      <c r="P27" s="296"/>
      <c r="Q27" s="296"/>
      <c r="R27" s="296"/>
      <c r="S27" s="296"/>
      <c r="T27" s="296"/>
      <c r="U27" s="296"/>
      <c r="V27" s="296"/>
      <c r="W27" s="296"/>
      <c r="X27" s="296"/>
      <c r="Y27" s="296"/>
      <c r="Z27" s="296"/>
      <c r="AA27" s="296"/>
      <c r="AB27" s="296"/>
      <c r="AC27" s="296"/>
      <c r="AD27" s="296"/>
      <c r="AE27" s="296"/>
      <c r="AF27" s="296"/>
      <c r="AG27" s="296"/>
      <c r="AH27" s="296"/>
      <c r="AI27" s="296"/>
      <c r="AJ27" s="296"/>
      <c r="AK27" s="296"/>
      <c r="AL27" s="296"/>
      <c r="AM27" s="296"/>
      <c r="AN27" s="296"/>
      <c r="AO27" s="296"/>
    </row>
    <row r="28" spans="1:41" x14ac:dyDescent="0.2">
      <c r="A28" s="80"/>
      <c r="B28" s="82"/>
      <c r="C28" s="82"/>
      <c r="D28" s="82"/>
      <c r="E28" s="82"/>
      <c r="F28" s="82"/>
      <c r="G28" s="82"/>
      <c r="H28" s="82"/>
      <c r="I28" s="82"/>
      <c r="J28" s="82"/>
      <c r="K28" s="82"/>
      <c r="L28" s="82"/>
    </row>
    <row r="29" spans="1:41" x14ac:dyDescent="0.2">
      <c r="A29" s="80"/>
      <c r="B29" s="82"/>
      <c r="C29" s="82"/>
      <c r="D29" s="82"/>
      <c r="E29" s="82"/>
      <c r="F29" s="82"/>
      <c r="G29" s="82"/>
      <c r="H29" s="82"/>
      <c r="I29" s="82"/>
      <c r="J29" s="82"/>
      <c r="K29" s="82"/>
      <c r="L29" s="82"/>
      <c r="AH29" s="296"/>
      <c r="AI29" s="296"/>
      <c r="AJ29" s="296"/>
      <c r="AK29" s="296"/>
      <c r="AL29" s="296"/>
      <c r="AM29" s="296"/>
      <c r="AN29" s="296"/>
      <c r="AO29" s="296"/>
    </row>
    <row r="30" spans="1:41" x14ac:dyDescent="0.2">
      <c r="A30" s="80"/>
      <c r="B30" s="82"/>
      <c r="C30" s="82"/>
      <c r="D30" s="82"/>
      <c r="E30" s="82"/>
      <c r="F30" s="82"/>
      <c r="G30" s="82"/>
      <c r="H30" s="82"/>
      <c r="I30" s="82"/>
      <c r="J30" s="82"/>
      <c r="K30" s="82"/>
      <c r="L30" s="82"/>
    </row>
    <row r="31" spans="1:41" x14ac:dyDescent="0.2">
      <c r="A31" s="80"/>
      <c r="B31" s="82"/>
      <c r="C31" s="82"/>
      <c r="D31" s="82"/>
      <c r="E31" s="82"/>
      <c r="F31" s="82"/>
      <c r="G31" s="82"/>
      <c r="H31" s="82"/>
      <c r="I31" s="82"/>
      <c r="J31" s="82"/>
      <c r="K31" s="82"/>
      <c r="L31" s="82"/>
    </row>
    <row r="32" spans="1:41" x14ac:dyDescent="0.2">
      <c r="A32" s="80"/>
      <c r="B32" s="82"/>
      <c r="C32" s="82"/>
      <c r="D32" s="82"/>
      <c r="E32" s="82"/>
      <c r="F32" s="82"/>
      <c r="G32" s="82"/>
      <c r="H32" s="82"/>
      <c r="I32" s="82"/>
      <c r="J32" s="82"/>
      <c r="K32" s="82"/>
      <c r="L32" s="82"/>
    </row>
    <row r="33" spans="1:41" x14ac:dyDescent="0.2">
      <c r="A33" s="80"/>
      <c r="B33" s="82"/>
      <c r="C33" s="82"/>
      <c r="D33" s="82"/>
      <c r="E33" s="82"/>
      <c r="F33" s="82"/>
      <c r="G33" s="82"/>
      <c r="H33" s="82"/>
      <c r="I33" s="82"/>
      <c r="J33" s="82"/>
      <c r="K33" s="82"/>
      <c r="L33" s="82"/>
    </row>
    <row r="34" spans="1:41" x14ac:dyDescent="0.2">
      <c r="A34" s="80"/>
      <c r="B34" s="82"/>
      <c r="C34" s="82"/>
      <c r="D34" s="82"/>
      <c r="E34" s="82"/>
      <c r="F34" s="82"/>
      <c r="G34" s="82"/>
      <c r="H34" s="82"/>
      <c r="I34" s="82"/>
      <c r="J34" s="82"/>
      <c r="K34" s="82"/>
      <c r="L34" s="82"/>
    </row>
    <row r="35" spans="1:41" x14ac:dyDescent="0.2">
      <c r="A35" s="80"/>
      <c r="B35" s="82"/>
      <c r="C35" s="82"/>
      <c r="D35" s="82"/>
      <c r="E35" s="82"/>
      <c r="F35" s="82"/>
      <c r="G35" s="82"/>
      <c r="H35" s="82"/>
      <c r="I35" s="82"/>
      <c r="J35" s="82"/>
      <c r="K35" s="82"/>
      <c r="L35" s="82"/>
    </row>
    <row r="36" spans="1:41" x14ac:dyDescent="0.2">
      <c r="A36" s="80"/>
      <c r="B36" s="82"/>
      <c r="C36" s="82"/>
      <c r="D36" s="82"/>
      <c r="E36" s="82"/>
      <c r="F36" s="82"/>
      <c r="G36" s="82"/>
      <c r="H36" s="82"/>
      <c r="I36" s="82"/>
      <c r="J36" s="82"/>
      <c r="K36" s="82"/>
      <c r="L36" s="82"/>
      <c r="M36" s="296"/>
      <c r="N36" s="296"/>
      <c r="O36" s="296"/>
      <c r="Q36" s="296"/>
      <c r="R36" s="296"/>
      <c r="S36" s="296"/>
      <c r="T36" s="296"/>
      <c r="U36" s="296"/>
      <c r="V36" s="296"/>
      <c r="W36" s="296"/>
      <c r="X36" s="296"/>
      <c r="Y36" s="296"/>
      <c r="Z36" s="296"/>
      <c r="AA36" s="296"/>
      <c r="AB36" s="296"/>
      <c r="AC36" s="296"/>
      <c r="AD36" s="296"/>
      <c r="AE36" s="296"/>
      <c r="AF36" s="296"/>
      <c r="AG36" s="296"/>
      <c r="AH36" s="296"/>
      <c r="AI36" s="296"/>
      <c r="AJ36" s="296"/>
      <c r="AK36" s="296"/>
      <c r="AL36" s="296"/>
      <c r="AM36" s="296"/>
      <c r="AN36" s="296"/>
      <c r="AO36" s="296"/>
    </row>
    <row r="37" spans="1:41" x14ac:dyDescent="0.2">
      <c r="A37" s="80"/>
      <c r="B37" s="82"/>
      <c r="C37" s="82"/>
      <c r="D37" s="82"/>
      <c r="E37" s="82"/>
      <c r="F37" s="82"/>
      <c r="G37" s="82"/>
      <c r="H37" s="82"/>
      <c r="I37" s="82"/>
      <c r="J37" s="82"/>
      <c r="K37" s="82"/>
      <c r="L37" s="82"/>
    </row>
    <row r="38" spans="1:41" x14ac:dyDescent="0.2">
      <c r="A38" s="80"/>
      <c r="B38" s="82"/>
      <c r="C38" s="82"/>
      <c r="D38" s="82"/>
      <c r="E38" s="82"/>
      <c r="F38" s="82"/>
      <c r="G38" s="82"/>
      <c r="H38" s="82"/>
      <c r="I38" s="82"/>
      <c r="J38" s="82"/>
      <c r="K38" s="82"/>
      <c r="L38" s="82"/>
    </row>
    <row r="39" spans="1:41" x14ac:dyDescent="0.2">
      <c r="A39" s="80"/>
      <c r="B39" s="82"/>
      <c r="C39" s="82"/>
      <c r="D39" s="82"/>
      <c r="E39" s="82"/>
      <c r="F39" s="82"/>
      <c r="G39" s="82"/>
      <c r="H39" s="82"/>
      <c r="I39" s="82"/>
      <c r="J39" s="82"/>
      <c r="K39" s="82"/>
      <c r="L39" s="82"/>
    </row>
    <row r="40" spans="1:41" x14ac:dyDescent="0.2">
      <c r="A40" s="80"/>
      <c r="B40" s="82"/>
      <c r="C40" s="82"/>
      <c r="D40" s="82"/>
      <c r="E40" s="82"/>
      <c r="F40" s="82"/>
      <c r="G40" s="82"/>
      <c r="H40" s="82"/>
      <c r="I40" s="82"/>
      <c r="J40" s="82"/>
      <c r="K40" s="82"/>
      <c r="L40" s="82"/>
    </row>
    <row r="41" spans="1:41" x14ac:dyDescent="0.2">
      <c r="A41" s="80"/>
      <c r="B41" s="82"/>
      <c r="C41" s="82"/>
      <c r="D41" s="82"/>
      <c r="E41" s="82"/>
      <c r="F41" s="82"/>
      <c r="G41" s="82"/>
      <c r="H41" s="82"/>
      <c r="I41" s="82"/>
      <c r="J41" s="82"/>
      <c r="K41" s="82"/>
      <c r="L41" s="82"/>
    </row>
    <row r="42" spans="1:41" x14ac:dyDescent="0.2">
      <c r="A42" s="80"/>
      <c r="B42" s="82"/>
      <c r="C42" s="82"/>
      <c r="D42" s="82"/>
      <c r="E42" s="82"/>
      <c r="F42" s="82"/>
      <c r="G42" s="82"/>
      <c r="H42" s="82"/>
      <c r="I42" s="82"/>
      <c r="J42" s="82"/>
      <c r="K42" s="82"/>
      <c r="L42" s="82"/>
    </row>
    <row r="43" spans="1:41" x14ac:dyDescent="0.2">
      <c r="A43" s="80"/>
      <c r="B43" s="82"/>
      <c r="C43" s="82"/>
      <c r="D43" s="82"/>
      <c r="E43" s="82"/>
      <c r="F43" s="82"/>
      <c r="G43" s="82"/>
      <c r="H43" s="82"/>
      <c r="I43" s="82"/>
      <c r="J43" s="82"/>
      <c r="K43" s="82"/>
      <c r="L43" s="82"/>
    </row>
    <row r="44" spans="1:41" x14ac:dyDescent="0.2">
      <c r="A44" s="80"/>
      <c r="B44" s="82"/>
      <c r="C44" s="82"/>
      <c r="D44" s="82"/>
      <c r="E44" s="82"/>
      <c r="F44" s="82"/>
      <c r="G44" s="82"/>
      <c r="H44" s="82"/>
      <c r="I44" s="82"/>
      <c r="J44" s="82"/>
      <c r="K44" s="82"/>
      <c r="L44" s="82"/>
    </row>
    <row r="45" spans="1:41" x14ac:dyDescent="0.2">
      <c r="A45" s="80"/>
      <c r="B45" s="82"/>
      <c r="C45" s="82"/>
      <c r="D45" s="82"/>
      <c r="E45" s="82"/>
      <c r="F45" s="82"/>
      <c r="G45" s="82"/>
      <c r="H45" s="82"/>
      <c r="I45" s="82"/>
      <c r="J45" s="82"/>
      <c r="K45" s="82"/>
      <c r="L45" s="82"/>
    </row>
    <row r="46" spans="1:41" x14ac:dyDescent="0.2">
      <c r="A46" s="80"/>
      <c r="B46" s="82"/>
      <c r="C46" s="82"/>
      <c r="D46" s="82"/>
      <c r="E46" s="82"/>
      <c r="F46" s="82"/>
      <c r="G46" s="82"/>
      <c r="H46" s="82"/>
      <c r="I46" s="82"/>
      <c r="J46" s="82"/>
      <c r="K46" s="82"/>
      <c r="L46" s="82"/>
    </row>
    <row r="47" spans="1:41" x14ac:dyDescent="0.2">
      <c r="A47" s="80"/>
      <c r="B47" s="82"/>
      <c r="C47" s="82"/>
      <c r="D47" s="82"/>
      <c r="E47" s="82"/>
      <c r="F47" s="82"/>
      <c r="G47" s="82"/>
      <c r="H47" s="82"/>
      <c r="I47" s="82"/>
      <c r="J47" s="82"/>
      <c r="K47" s="82"/>
      <c r="L47" s="82"/>
    </row>
    <row r="48" spans="1:41" x14ac:dyDescent="0.2">
      <c r="A48" s="80"/>
      <c r="B48" s="81"/>
      <c r="C48" s="81"/>
      <c r="D48" s="81"/>
      <c r="E48" s="81"/>
      <c r="F48" s="81"/>
      <c r="G48" s="81"/>
      <c r="H48" s="81"/>
      <c r="I48" s="82"/>
      <c r="J48" s="82"/>
      <c r="K48" s="82"/>
      <c r="L48" s="82"/>
    </row>
    <row r="49" spans="1:12" x14ac:dyDescent="0.2">
      <c r="A49" s="80"/>
      <c r="B49" s="82"/>
      <c r="C49" s="82"/>
      <c r="D49" s="82"/>
      <c r="E49" s="82"/>
      <c r="F49" s="82"/>
      <c r="G49" s="82"/>
      <c r="H49" s="82"/>
      <c r="I49" s="82"/>
      <c r="J49" s="82"/>
      <c r="K49" s="82"/>
      <c r="L49" s="82"/>
    </row>
    <row r="50" spans="1:12" x14ac:dyDescent="0.2">
      <c r="A50" s="80"/>
      <c r="B50" s="82"/>
      <c r="C50" s="82"/>
      <c r="D50" s="82"/>
      <c r="E50" s="82"/>
      <c r="F50" s="82"/>
      <c r="G50" s="82"/>
      <c r="H50" s="82"/>
      <c r="I50" s="82"/>
      <c r="J50" s="82"/>
      <c r="K50" s="82"/>
      <c r="L50" s="82"/>
    </row>
    <row r="51" spans="1:12" x14ac:dyDescent="0.2">
      <c r="A51" s="80"/>
      <c r="B51" s="82"/>
      <c r="C51" s="82"/>
      <c r="D51" s="82"/>
      <c r="E51" s="82"/>
      <c r="F51" s="82"/>
      <c r="G51" s="82"/>
      <c r="H51" s="82"/>
      <c r="I51" s="82"/>
      <c r="J51" s="82"/>
      <c r="K51" s="82"/>
      <c r="L51" s="82"/>
    </row>
    <row r="52" spans="1:12" x14ac:dyDescent="0.2">
      <c r="A52" s="80"/>
      <c r="B52" s="81"/>
      <c r="C52" s="81"/>
      <c r="D52" s="81"/>
      <c r="E52" s="81"/>
      <c r="F52" s="81"/>
      <c r="G52" s="81"/>
      <c r="H52" s="81"/>
      <c r="I52" s="81"/>
      <c r="J52" s="81"/>
      <c r="K52" s="81"/>
      <c r="L52" s="81"/>
    </row>
    <row r="53" spans="1:12" x14ac:dyDescent="0.2">
      <c r="A53" s="80"/>
      <c r="B53" s="82"/>
      <c r="C53" s="82"/>
      <c r="D53" s="82"/>
      <c r="E53" s="82"/>
      <c r="F53" s="82"/>
      <c r="G53" s="82"/>
      <c r="H53" s="82"/>
      <c r="I53" s="82"/>
      <c r="J53" s="82"/>
      <c r="K53" s="82"/>
      <c r="L53" s="82"/>
    </row>
    <row r="54" spans="1:12" x14ac:dyDescent="0.2">
      <c r="A54" s="80"/>
      <c r="B54" s="82"/>
      <c r="C54" s="82"/>
      <c r="D54" s="82"/>
      <c r="E54" s="82"/>
      <c r="F54" s="82"/>
      <c r="G54" s="82"/>
      <c r="H54" s="82"/>
      <c r="I54" s="82"/>
      <c r="J54" s="82"/>
      <c r="K54" s="82"/>
      <c r="L54" s="82"/>
    </row>
    <row r="55" spans="1:12" x14ac:dyDescent="0.2">
      <c r="A55" s="80"/>
      <c r="B55" s="82"/>
      <c r="C55" s="82"/>
      <c r="D55" s="82"/>
      <c r="E55" s="82"/>
      <c r="F55" s="82"/>
      <c r="G55" s="82"/>
      <c r="H55" s="82"/>
      <c r="I55" s="82"/>
      <c r="J55" s="82"/>
      <c r="K55" s="82"/>
      <c r="L55" s="82"/>
    </row>
    <row r="56" spans="1:12" x14ac:dyDescent="0.2">
      <c r="A56" s="80"/>
      <c r="B56" s="82"/>
      <c r="C56" s="82"/>
      <c r="D56" s="82"/>
      <c r="E56" s="82"/>
      <c r="F56" s="82"/>
      <c r="G56" s="82"/>
      <c r="H56" s="82"/>
      <c r="I56" s="82"/>
      <c r="J56" s="82"/>
      <c r="K56" s="82"/>
      <c r="L56" s="82"/>
    </row>
    <row r="57" spans="1:12" x14ac:dyDescent="0.2">
      <c r="A57" s="80"/>
      <c r="B57" s="82"/>
      <c r="C57" s="82"/>
      <c r="D57" s="82"/>
      <c r="E57" s="82"/>
      <c r="F57" s="82"/>
      <c r="G57" s="82"/>
      <c r="H57" s="82"/>
      <c r="I57" s="82"/>
      <c r="J57" s="82"/>
      <c r="K57" s="82"/>
      <c r="L57" s="82"/>
    </row>
    <row r="58" spans="1:12" x14ac:dyDescent="0.2">
      <c r="A58" s="80"/>
      <c r="B58" s="82"/>
      <c r="C58" s="82"/>
      <c r="D58" s="82"/>
      <c r="E58" s="82"/>
      <c r="F58" s="82"/>
      <c r="G58" s="82"/>
      <c r="H58" s="82"/>
      <c r="I58" s="82"/>
      <c r="J58" s="82"/>
      <c r="K58" s="82"/>
      <c r="L58" s="82"/>
    </row>
    <row r="59" spans="1:12" x14ac:dyDescent="0.2">
      <c r="A59" s="80"/>
      <c r="B59" s="82"/>
      <c r="C59" s="82"/>
      <c r="D59" s="82"/>
      <c r="E59" s="82"/>
      <c r="F59" s="82"/>
      <c r="G59" s="82"/>
      <c r="H59" s="82"/>
      <c r="I59" s="82"/>
      <c r="J59" s="82"/>
      <c r="K59" s="82"/>
      <c r="L59" s="82"/>
    </row>
    <row r="60" spans="1:12" x14ac:dyDescent="0.2">
      <c r="A60" s="80"/>
      <c r="B60" s="82"/>
      <c r="C60" s="82"/>
      <c r="D60" s="82"/>
      <c r="E60" s="82"/>
      <c r="F60" s="82"/>
      <c r="G60" s="82"/>
      <c r="H60" s="82"/>
      <c r="I60" s="82"/>
      <c r="J60" s="82"/>
      <c r="K60" s="82"/>
      <c r="L60" s="82"/>
    </row>
    <row r="61" spans="1:12" x14ac:dyDescent="0.2">
      <c r="A61" s="80"/>
      <c r="B61" s="81"/>
      <c r="C61" s="81"/>
      <c r="D61" s="81"/>
      <c r="E61" s="81"/>
      <c r="F61" s="81"/>
      <c r="G61" s="81"/>
      <c r="H61" s="81"/>
      <c r="I61" s="81"/>
      <c r="J61" s="81"/>
      <c r="K61" s="81"/>
      <c r="L61" s="81"/>
    </row>
    <row r="62" spans="1:12" x14ac:dyDescent="0.2">
      <c r="A62" s="80"/>
      <c r="B62" s="82"/>
      <c r="C62" s="82"/>
      <c r="D62" s="82"/>
      <c r="E62" s="82"/>
      <c r="F62" s="82"/>
      <c r="G62" s="82"/>
      <c r="H62" s="82"/>
      <c r="I62" s="82"/>
      <c r="J62" s="82"/>
      <c r="K62" s="82"/>
      <c r="L62" s="82"/>
    </row>
    <row r="63" spans="1:12" x14ac:dyDescent="0.2">
      <c r="A63" s="80"/>
      <c r="B63" s="82"/>
      <c r="C63" s="82"/>
      <c r="D63" s="82"/>
      <c r="E63" s="82"/>
      <c r="F63" s="82"/>
      <c r="G63" s="82"/>
      <c r="H63" s="82"/>
      <c r="I63" s="82"/>
      <c r="J63" s="82"/>
      <c r="K63" s="82"/>
      <c r="L63" s="82"/>
    </row>
    <row r="64" spans="1:12" x14ac:dyDescent="0.2">
      <c r="A64" s="80"/>
      <c r="B64" s="81"/>
      <c r="C64" s="81"/>
      <c r="D64" s="81"/>
      <c r="E64" s="81"/>
      <c r="F64" s="81"/>
      <c r="G64" s="81"/>
      <c r="H64" s="81"/>
      <c r="I64" s="81"/>
      <c r="J64" s="81"/>
      <c r="K64" s="82"/>
      <c r="L64" s="82"/>
    </row>
    <row r="65" spans="1:12" x14ac:dyDescent="0.2">
      <c r="A65" s="80"/>
      <c r="B65" s="82"/>
      <c r="C65" s="82"/>
      <c r="D65" s="82"/>
      <c r="E65" s="82"/>
      <c r="F65" s="82"/>
      <c r="G65" s="82"/>
      <c r="H65" s="82"/>
      <c r="I65" s="82"/>
      <c r="J65" s="82"/>
      <c r="K65" s="82"/>
      <c r="L65" s="82"/>
    </row>
    <row r="66" spans="1:12" x14ac:dyDescent="0.2">
      <c r="A66" s="80"/>
      <c r="B66" s="81"/>
      <c r="C66" s="81"/>
      <c r="D66" s="81"/>
      <c r="E66" s="81"/>
      <c r="F66" s="81"/>
      <c r="G66" s="81"/>
      <c r="H66" s="81"/>
      <c r="I66" s="81"/>
      <c r="J66" s="81"/>
      <c r="K66" s="81"/>
      <c r="L66" s="81"/>
    </row>
    <row r="67" spans="1:12" x14ac:dyDescent="0.2">
      <c r="A67" s="80"/>
      <c r="B67" s="81"/>
      <c r="C67" s="81"/>
      <c r="D67" s="81"/>
      <c r="E67" s="81"/>
      <c r="F67" s="81"/>
      <c r="G67" s="81"/>
      <c r="H67" s="81"/>
      <c r="I67" s="81"/>
      <c r="J67" s="81"/>
      <c r="K67" s="81"/>
      <c r="L67" s="81"/>
    </row>
    <row r="68" spans="1:12" x14ac:dyDescent="0.2">
      <c r="A68" s="80"/>
      <c r="B68" s="81"/>
      <c r="C68" s="81"/>
      <c r="D68" s="81"/>
      <c r="E68" s="81"/>
      <c r="F68" s="81"/>
      <c r="G68" s="81"/>
      <c r="H68" s="81"/>
      <c r="I68" s="81"/>
      <c r="J68" s="81"/>
      <c r="K68" s="82"/>
      <c r="L68" s="82"/>
    </row>
    <row r="69" spans="1:12" x14ac:dyDescent="0.2">
      <c r="A69" s="80"/>
      <c r="B69" s="81"/>
      <c r="C69" s="81"/>
      <c r="D69" s="81"/>
      <c r="E69" s="81"/>
      <c r="F69" s="81"/>
      <c r="G69" s="81"/>
      <c r="H69" s="81"/>
      <c r="I69" s="81"/>
      <c r="J69" s="81"/>
      <c r="K69" s="82"/>
      <c r="L69" s="82"/>
    </row>
    <row r="70" spans="1:12" x14ac:dyDescent="0.2">
      <c r="A70" s="80"/>
      <c r="B70" s="82"/>
      <c r="C70" s="82"/>
      <c r="D70" s="82"/>
      <c r="E70" s="82"/>
      <c r="F70" s="82"/>
      <c r="G70" s="82"/>
      <c r="H70" s="82"/>
      <c r="I70" s="82"/>
      <c r="J70" s="82"/>
      <c r="K70" s="82"/>
      <c r="L70" s="82"/>
    </row>
    <row r="71" spans="1:12" x14ac:dyDescent="0.2">
      <c r="A71" s="80"/>
      <c r="B71" s="81"/>
      <c r="C71" s="81"/>
      <c r="D71" s="81"/>
      <c r="E71" s="81"/>
      <c r="F71" s="81"/>
      <c r="G71" s="81"/>
      <c r="H71" s="81"/>
      <c r="I71" s="81"/>
      <c r="J71" s="81"/>
      <c r="K71" s="81"/>
      <c r="L71" s="81"/>
    </row>
    <row r="72" spans="1:12" x14ac:dyDescent="0.2">
      <c r="A72" s="80"/>
      <c r="B72" s="81"/>
      <c r="C72" s="81"/>
      <c r="D72" s="81"/>
      <c r="E72" s="81"/>
      <c r="F72" s="81"/>
      <c r="G72" s="81"/>
      <c r="H72" s="81"/>
      <c r="I72" s="81"/>
      <c r="J72" s="81"/>
      <c r="K72" s="81"/>
      <c r="L72" s="81"/>
    </row>
    <row r="73" spans="1:12" x14ac:dyDescent="0.2">
      <c r="A73" s="80"/>
      <c r="B73" s="81"/>
      <c r="C73" s="81"/>
      <c r="D73" s="81"/>
      <c r="E73" s="81"/>
      <c r="F73" s="81"/>
      <c r="G73" s="81"/>
      <c r="H73" s="81"/>
      <c r="I73" s="81"/>
      <c r="J73" s="81"/>
      <c r="K73" s="81"/>
      <c r="L73" s="81"/>
    </row>
    <row r="74" spans="1:12" x14ac:dyDescent="0.2">
      <c r="A74" s="80"/>
      <c r="B74" s="81"/>
      <c r="C74" s="81"/>
      <c r="D74" s="81"/>
      <c r="E74" s="81"/>
      <c r="F74" s="81"/>
      <c r="G74" s="81"/>
      <c r="H74" s="81"/>
      <c r="I74" s="81"/>
      <c r="J74" s="81"/>
      <c r="K74" s="81"/>
      <c r="L74" s="81"/>
    </row>
    <row r="75" spans="1:12" x14ac:dyDescent="0.2">
      <c r="A75" s="80"/>
      <c r="B75" s="81"/>
      <c r="C75" s="81"/>
      <c r="D75" s="81"/>
      <c r="E75" s="81"/>
      <c r="F75" s="81"/>
      <c r="G75" s="81"/>
      <c r="H75" s="81"/>
      <c r="I75" s="81"/>
      <c r="J75" s="81"/>
      <c r="K75" s="81"/>
      <c r="L75" s="81"/>
    </row>
    <row r="76" spans="1:12" x14ac:dyDescent="0.2">
      <c r="A76" s="80"/>
      <c r="B76" s="81"/>
      <c r="C76" s="81"/>
      <c r="D76" s="81"/>
      <c r="E76" s="81"/>
      <c r="F76" s="81"/>
      <c r="G76" s="81"/>
      <c r="H76" s="81"/>
      <c r="I76" s="81"/>
      <c r="J76" s="81"/>
      <c r="K76" s="81"/>
      <c r="L76" s="81"/>
    </row>
    <row r="77" spans="1:12" x14ac:dyDescent="0.2">
      <c r="A77" s="80"/>
      <c r="B77" s="81"/>
      <c r="C77" s="81"/>
      <c r="D77" s="81"/>
      <c r="E77" s="81"/>
      <c r="F77" s="81"/>
      <c r="G77" s="81"/>
      <c r="H77" s="81"/>
      <c r="I77" s="81"/>
      <c r="J77" s="81"/>
      <c r="K77" s="81"/>
      <c r="L77" s="81"/>
    </row>
    <row r="78" spans="1:12" x14ac:dyDescent="0.2">
      <c r="A78" s="80"/>
      <c r="B78" s="81"/>
      <c r="C78" s="81"/>
      <c r="D78" s="81"/>
      <c r="E78" s="81"/>
      <c r="F78" s="81"/>
      <c r="G78" s="81"/>
      <c r="H78" s="81"/>
      <c r="I78" s="81"/>
      <c r="J78" s="81"/>
      <c r="K78" s="81"/>
      <c r="L78" s="81"/>
    </row>
    <row r="79" spans="1:12" x14ac:dyDescent="0.2">
      <c r="A79" s="80"/>
      <c r="B79" s="81"/>
      <c r="C79" s="81"/>
      <c r="D79" s="81"/>
      <c r="E79" s="81"/>
      <c r="F79" s="81"/>
      <c r="G79" s="81"/>
      <c r="H79" s="81"/>
      <c r="I79" s="81"/>
      <c r="J79" s="81"/>
      <c r="K79" s="81"/>
      <c r="L79" s="81"/>
    </row>
    <row r="80" spans="1:12" x14ac:dyDescent="0.2">
      <c r="A80" s="80"/>
      <c r="B80" s="81"/>
      <c r="C80" s="81"/>
      <c r="D80" s="81"/>
      <c r="E80" s="81"/>
      <c r="F80" s="81"/>
      <c r="G80" s="81"/>
      <c r="H80" s="81"/>
      <c r="I80" s="81"/>
      <c r="J80" s="81"/>
      <c r="K80" s="81"/>
      <c r="L80" s="81"/>
    </row>
    <row r="81" spans="1:12" x14ac:dyDescent="0.2">
      <c r="A81" s="80"/>
      <c r="B81" s="81"/>
      <c r="C81" s="81"/>
      <c r="D81" s="81"/>
      <c r="E81" s="81"/>
      <c r="F81" s="81"/>
      <c r="G81" s="81"/>
      <c r="H81" s="81"/>
      <c r="I81" s="81"/>
      <c r="J81" s="81"/>
      <c r="K81" s="81"/>
      <c r="L81" s="81"/>
    </row>
    <row r="82" spans="1:12" x14ac:dyDescent="0.2">
      <c r="A82" s="80"/>
      <c r="B82" s="81"/>
      <c r="C82" s="81"/>
      <c r="D82" s="81"/>
      <c r="E82" s="81"/>
      <c r="F82" s="81"/>
      <c r="G82" s="81"/>
      <c r="H82" s="81"/>
      <c r="I82" s="81"/>
      <c r="J82" s="81"/>
      <c r="K82" s="81"/>
      <c r="L82" s="81"/>
    </row>
    <row r="83" spans="1:12" x14ac:dyDescent="0.2">
      <c r="A83" s="80"/>
      <c r="B83" s="81"/>
      <c r="C83" s="81"/>
      <c r="D83" s="81"/>
      <c r="E83" s="81"/>
      <c r="F83" s="81"/>
      <c r="G83" s="81"/>
      <c r="H83" s="81"/>
      <c r="I83" s="81"/>
      <c r="J83" s="81"/>
      <c r="K83" s="81"/>
      <c r="L83" s="81"/>
    </row>
    <row r="84" spans="1:12" x14ac:dyDescent="0.2">
      <c r="A84" s="80"/>
      <c r="B84" s="81"/>
      <c r="C84" s="81"/>
      <c r="D84" s="81"/>
      <c r="E84" s="81"/>
      <c r="F84" s="81"/>
      <c r="G84" s="81"/>
      <c r="H84" s="81"/>
      <c r="I84" s="81"/>
      <c r="J84" s="81"/>
      <c r="K84" s="81"/>
      <c r="L84" s="81"/>
    </row>
    <row r="85" spans="1:12" x14ac:dyDescent="0.2">
      <c r="A85" s="80"/>
      <c r="B85" s="81"/>
      <c r="C85" s="81"/>
      <c r="D85" s="81"/>
      <c r="E85" s="81"/>
      <c r="F85" s="81"/>
      <c r="G85" s="81"/>
      <c r="H85" s="81"/>
      <c r="I85" s="81"/>
      <c r="J85" s="81"/>
      <c r="K85" s="81"/>
      <c r="L85" s="81"/>
    </row>
    <row r="86" spans="1:12" x14ac:dyDescent="0.2">
      <c r="A86" s="80"/>
      <c r="B86" s="81"/>
      <c r="C86" s="81"/>
      <c r="D86" s="81"/>
      <c r="E86" s="81"/>
      <c r="F86" s="81"/>
      <c r="G86" s="81"/>
      <c r="H86" s="81"/>
      <c r="I86" s="81"/>
      <c r="J86" s="81"/>
      <c r="K86" s="81"/>
      <c r="L86" s="81"/>
    </row>
    <row r="87" spans="1:12" x14ac:dyDescent="0.2">
      <c r="A87" s="80"/>
      <c r="B87" s="81"/>
      <c r="C87" s="81"/>
      <c r="D87" s="81"/>
      <c r="E87" s="81"/>
      <c r="F87" s="81"/>
      <c r="G87" s="81"/>
      <c r="H87" s="81"/>
      <c r="I87" s="81"/>
      <c r="J87" s="81"/>
      <c r="K87" s="81"/>
      <c r="L87" s="81"/>
    </row>
    <row r="88" spans="1:12" x14ac:dyDescent="0.2">
      <c r="A88" s="80"/>
      <c r="B88" s="81"/>
      <c r="C88" s="81"/>
      <c r="D88" s="81"/>
      <c r="E88" s="81"/>
      <c r="F88" s="81"/>
      <c r="G88" s="81"/>
      <c r="H88" s="81"/>
      <c r="I88" s="81"/>
      <c r="J88" s="81"/>
      <c r="K88" s="81"/>
      <c r="L88" s="81"/>
    </row>
    <row r="89" spans="1:12" x14ac:dyDescent="0.2">
      <c r="A89" s="80"/>
      <c r="B89" s="81"/>
      <c r="C89" s="81"/>
      <c r="D89" s="81"/>
      <c r="E89" s="81"/>
      <c r="F89" s="81"/>
      <c r="G89" s="81"/>
      <c r="H89" s="81"/>
      <c r="I89" s="81"/>
      <c r="J89" s="81"/>
      <c r="K89" s="81"/>
      <c r="L89" s="81"/>
    </row>
    <row r="90" spans="1:12" x14ac:dyDescent="0.2">
      <c r="A90" s="80"/>
      <c r="B90" s="81"/>
      <c r="C90" s="81"/>
      <c r="D90" s="81"/>
      <c r="E90" s="81"/>
      <c r="F90" s="81"/>
      <c r="G90" s="81"/>
      <c r="H90" s="81"/>
      <c r="I90" s="81"/>
      <c r="J90" s="81"/>
      <c r="K90" s="81"/>
      <c r="L90" s="81"/>
    </row>
    <row r="91" spans="1:12" x14ac:dyDescent="0.2">
      <c r="A91" s="80"/>
      <c r="B91" s="81"/>
      <c r="C91" s="81"/>
      <c r="D91" s="81"/>
      <c r="E91" s="81"/>
      <c r="F91" s="81"/>
      <c r="G91" s="81"/>
      <c r="H91" s="81"/>
      <c r="I91" s="81"/>
      <c r="J91" s="81"/>
      <c r="K91" s="81"/>
      <c r="L91" s="81"/>
    </row>
    <row r="92" spans="1:12" x14ac:dyDescent="0.2">
      <c r="A92" s="80"/>
      <c r="B92" s="81"/>
      <c r="C92" s="81"/>
      <c r="D92" s="81"/>
      <c r="E92" s="81"/>
      <c r="F92" s="81"/>
      <c r="G92" s="81"/>
      <c r="H92" s="81"/>
      <c r="I92" s="81"/>
      <c r="J92" s="81"/>
      <c r="K92" s="81"/>
      <c r="L92" s="81"/>
    </row>
    <row r="93" spans="1:12" x14ac:dyDescent="0.2">
      <c r="A93" s="80"/>
      <c r="B93" s="81"/>
      <c r="C93" s="81"/>
      <c r="D93" s="81"/>
      <c r="E93" s="81"/>
      <c r="F93" s="81"/>
      <c r="G93" s="81"/>
      <c r="H93" s="81"/>
      <c r="I93" s="81"/>
      <c r="J93" s="81"/>
      <c r="K93" s="81"/>
      <c r="L93" s="81"/>
    </row>
    <row r="94" spans="1:12" x14ac:dyDescent="0.2">
      <c r="A94" s="80"/>
      <c r="B94" s="81"/>
      <c r="C94" s="81"/>
      <c r="D94" s="81"/>
      <c r="E94" s="81"/>
      <c r="F94" s="81"/>
      <c r="G94" s="81"/>
      <c r="H94" s="81"/>
      <c r="I94" s="81"/>
      <c r="J94" s="81"/>
      <c r="K94" s="81"/>
      <c r="L94" s="81"/>
    </row>
    <row r="95" spans="1:12" x14ac:dyDescent="0.2">
      <c r="A95" s="80"/>
      <c r="B95" s="81"/>
      <c r="C95" s="81"/>
      <c r="D95" s="81"/>
      <c r="E95" s="81"/>
      <c r="F95" s="81"/>
      <c r="G95" s="81"/>
      <c r="H95" s="81"/>
      <c r="I95" s="81"/>
      <c r="J95" s="81"/>
      <c r="K95" s="81"/>
      <c r="L95" s="81"/>
    </row>
    <row r="96" spans="1:12" x14ac:dyDescent="0.2">
      <c r="A96" s="80"/>
      <c r="B96" s="81"/>
      <c r="C96" s="81"/>
      <c r="D96" s="81"/>
      <c r="E96" s="81"/>
      <c r="F96" s="81"/>
      <c r="G96" s="81"/>
      <c r="H96" s="81"/>
      <c r="I96" s="81"/>
      <c r="J96" s="81"/>
      <c r="K96" s="81"/>
      <c r="L96" s="81"/>
    </row>
    <row r="97" spans="1:12" x14ac:dyDescent="0.2">
      <c r="A97" s="80"/>
      <c r="B97" s="81"/>
      <c r="C97" s="81"/>
      <c r="D97" s="81"/>
      <c r="E97" s="81"/>
      <c r="F97" s="81"/>
      <c r="G97" s="81"/>
      <c r="H97" s="81"/>
      <c r="I97" s="81"/>
      <c r="J97" s="81"/>
      <c r="K97" s="81"/>
      <c r="L97" s="81"/>
    </row>
    <row r="98" spans="1:12" x14ac:dyDescent="0.2">
      <c r="A98" s="80"/>
      <c r="B98" s="81"/>
      <c r="C98" s="81"/>
      <c r="D98" s="81"/>
      <c r="E98" s="81"/>
      <c r="F98" s="81"/>
      <c r="G98" s="81"/>
      <c r="H98" s="81"/>
      <c r="I98" s="81"/>
      <c r="J98" s="81"/>
      <c r="K98" s="81"/>
      <c r="L98" s="81"/>
    </row>
    <row r="99" spans="1:12" x14ac:dyDescent="0.2">
      <c r="A99" s="80"/>
      <c r="B99" s="81"/>
      <c r="C99" s="81"/>
      <c r="D99" s="81"/>
      <c r="E99" s="81"/>
      <c r="F99" s="81"/>
      <c r="G99" s="81"/>
      <c r="H99" s="81"/>
      <c r="I99" s="81"/>
      <c r="J99" s="81"/>
      <c r="K99" s="81"/>
      <c r="L99" s="81"/>
    </row>
  </sheetData>
  <sheetProtection formatCells="0" formatColumns="0" formatRows="0"/>
  <pageMargins left="0.7" right="0.7" top="0.75" bottom="0.75" header="0.3" footer="0.3"/>
  <pageSetup paperSize="9"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89650-348F-4BAF-A3E8-F193B2547EB0}">
  <sheetPr codeName="Hoja12"/>
  <dimension ref="A1:T65"/>
  <sheetViews>
    <sheetView showGridLines="0" zoomScale="80" zoomScaleNormal="80" workbookViewId="0"/>
  </sheetViews>
  <sheetFormatPr baseColWidth="10" defaultColWidth="0" defaultRowHeight="16" zeroHeight="1" x14ac:dyDescent="0.2"/>
  <cols>
    <col min="1" max="1" width="4" style="6" customWidth="1"/>
    <col min="2" max="2" width="41.5" style="6" customWidth="1"/>
    <col min="3" max="3" width="79" style="24" customWidth="1"/>
    <col min="4" max="4" width="83.5" style="24" customWidth="1"/>
    <col min="5" max="5" width="69.5" style="24" customWidth="1"/>
    <col min="6" max="6" width="56.5" style="6" customWidth="1"/>
    <col min="7" max="8" width="13.83203125" style="6" hidden="1" customWidth="1"/>
    <col min="9" max="14" width="16.83203125" style="6" hidden="1" customWidth="1"/>
    <col min="15" max="15" width="1.83203125" style="6" hidden="1" customWidth="1"/>
    <col min="16" max="18" width="0" style="6" hidden="1" customWidth="1"/>
    <col min="19" max="21" width="9.1640625" style="6" hidden="1" customWidth="1"/>
    <col min="22" max="16384" width="9.1640625" style="6" hidden="1"/>
  </cols>
  <sheetData>
    <row r="1" spans="1:20" x14ac:dyDescent="0.2">
      <c r="A1" s="27"/>
      <c r="B1" s="27"/>
      <c r="C1" s="32"/>
      <c r="D1" s="32"/>
      <c r="E1" s="32"/>
      <c r="F1" s="27"/>
      <c r="G1" s="27"/>
      <c r="H1" s="27"/>
      <c r="I1" s="27"/>
      <c r="J1" s="27"/>
      <c r="K1" s="27"/>
      <c r="L1" s="27"/>
      <c r="M1" s="27"/>
      <c r="N1" s="27"/>
      <c r="O1" s="27"/>
      <c r="P1" s="27"/>
      <c r="Q1" s="27"/>
      <c r="R1" s="27"/>
    </row>
    <row r="2" spans="1:20" ht="30" customHeight="1" x14ac:dyDescent="0.2">
      <c r="A2" s="27"/>
      <c r="B2" s="38" t="s">
        <v>186</v>
      </c>
      <c r="C2" s="38" t="s">
        <v>187</v>
      </c>
      <c r="D2" s="38" t="s">
        <v>188</v>
      </c>
      <c r="E2" s="38" t="s">
        <v>189</v>
      </c>
      <c r="F2" s="28"/>
      <c r="G2" s="28"/>
      <c r="H2" s="28"/>
      <c r="I2" s="28"/>
      <c r="J2" s="28"/>
      <c r="K2" s="28"/>
      <c r="L2" s="28"/>
      <c r="M2" s="29"/>
      <c r="N2" s="29"/>
      <c r="O2" s="30"/>
      <c r="P2" s="27"/>
      <c r="Q2" s="27"/>
      <c r="R2" s="27"/>
      <c r="S2" s="27"/>
      <c r="T2" s="27"/>
    </row>
    <row r="3" spans="1:20" ht="30" customHeight="1" x14ac:dyDescent="0.2">
      <c r="A3" s="27"/>
      <c r="B3" s="39" t="s">
        <v>2</v>
      </c>
      <c r="C3" s="42" t="s">
        <v>27</v>
      </c>
      <c r="D3" s="42" t="s">
        <v>28</v>
      </c>
      <c r="E3" s="42" t="s">
        <v>29</v>
      </c>
      <c r="F3" s="31"/>
      <c r="G3" s="31"/>
      <c r="H3" s="31"/>
      <c r="I3" s="31"/>
      <c r="J3" s="31"/>
      <c r="K3" s="31"/>
      <c r="L3" s="31"/>
      <c r="M3" s="31"/>
      <c r="N3" s="31"/>
      <c r="O3" s="32"/>
      <c r="P3" s="27"/>
      <c r="Q3" s="27"/>
      <c r="R3" s="27"/>
      <c r="S3" s="27"/>
      <c r="T3" s="27"/>
    </row>
    <row r="4" spans="1:20" ht="30" customHeight="1" x14ac:dyDescent="0.2">
      <c r="A4" s="27"/>
      <c r="B4" s="171" t="s">
        <v>4</v>
      </c>
      <c r="C4" s="172" t="s">
        <v>30</v>
      </c>
      <c r="D4" s="172" t="s">
        <v>31</v>
      </c>
      <c r="E4" s="172" t="s">
        <v>32</v>
      </c>
      <c r="F4" s="31"/>
      <c r="G4" s="31"/>
      <c r="H4" s="31"/>
      <c r="I4" s="31"/>
      <c r="J4" s="31"/>
      <c r="K4" s="31"/>
      <c r="L4" s="31"/>
      <c r="M4" s="31"/>
      <c r="N4" s="31"/>
      <c r="O4" s="32"/>
      <c r="P4" s="27"/>
      <c r="Q4" s="27"/>
      <c r="R4" s="27"/>
      <c r="S4" s="27"/>
      <c r="T4" s="27"/>
    </row>
    <row r="5" spans="1:20" ht="30" customHeight="1" x14ac:dyDescent="0.2">
      <c r="A5" s="27"/>
      <c r="B5" s="39" t="s">
        <v>16</v>
      </c>
      <c r="C5" s="42" t="s">
        <v>33</v>
      </c>
      <c r="D5" s="42" t="s">
        <v>35</v>
      </c>
      <c r="E5" s="42" t="s">
        <v>34</v>
      </c>
      <c r="F5" s="31"/>
      <c r="G5" s="31"/>
      <c r="H5" s="31"/>
      <c r="I5" s="31"/>
      <c r="J5" s="31"/>
      <c r="K5" s="31"/>
      <c r="L5" s="31"/>
      <c r="M5" s="31"/>
      <c r="N5" s="31"/>
      <c r="O5" s="32"/>
      <c r="P5" s="27"/>
      <c r="Q5" s="27"/>
      <c r="R5" s="27"/>
      <c r="S5" s="27"/>
      <c r="T5" s="27"/>
    </row>
    <row r="6" spans="1:20" ht="30" customHeight="1" x14ac:dyDescent="0.2">
      <c r="A6" s="27"/>
      <c r="B6" s="171" t="s">
        <v>1</v>
      </c>
      <c r="C6" s="172" t="s">
        <v>36</v>
      </c>
      <c r="D6" s="172" t="s">
        <v>37</v>
      </c>
      <c r="E6" s="172"/>
      <c r="F6" s="31"/>
      <c r="G6" s="31"/>
      <c r="H6" s="31"/>
      <c r="I6" s="31"/>
      <c r="J6" s="31"/>
      <c r="K6" s="31"/>
      <c r="L6" s="31"/>
      <c r="M6" s="31"/>
      <c r="N6" s="31"/>
      <c r="O6" s="32"/>
      <c r="P6" s="27"/>
      <c r="Q6" s="27"/>
      <c r="R6" s="27"/>
      <c r="S6" s="27"/>
      <c r="T6" s="27"/>
    </row>
    <row r="7" spans="1:20" ht="30" customHeight="1" x14ac:dyDescent="0.2">
      <c r="A7" s="27"/>
      <c r="B7" s="39" t="s">
        <v>18</v>
      </c>
      <c r="C7" s="40" t="s">
        <v>38</v>
      </c>
      <c r="D7" s="42"/>
      <c r="E7" s="42"/>
      <c r="F7" s="31"/>
      <c r="G7" s="31"/>
      <c r="H7" s="31"/>
      <c r="I7" s="31"/>
      <c r="J7" s="31"/>
      <c r="K7" s="31"/>
      <c r="L7" s="31"/>
      <c r="M7" s="31"/>
      <c r="N7" s="31"/>
      <c r="O7" s="32"/>
      <c r="P7" s="27"/>
      <c r="Q7" s="27"/>
      <c r="R7" s="27"/>
      <c r="S7" s="27"/>
      <c r="T7" s="27"/>
    </row>
    <row r="8" spans="1:20" ht="25" customHeight="1" x14ac:dyDescent="0.2">
      <c r="A8" s="27"/>
      <c r="C8" s="6"/>
      <c r="D8" s="6"/>
      <c r="E8" s="6"/>
      <c r="F8" s="31"/>
      <c r="G8" s="31"/>
      <c r="H8" s="31"/>
      <c r="I8" s="31"/>
      <c r="J8" s="31"/>
      <c r="K8" s="31"/>
      <c r="L8" s="31"/>
      <c r="M8" s="31"/>
      <c r="N8" s="31"/>
      <c r="O8" s="32"/>
      <c r="P8" s="27"/>
      <c r="Q8" s="27"/>
      <c r="R8" s="27"/>
      <c r="S8" s="27"/>
      <c r="T8" s="27"/>
    </row>
    <row r="9" spans="1:20" ht="30" customHeight="1" x14ac:dyDescent="0.2">
      <c r="A9" s="27"/>
      <c r="B9" s="37" t="s">
        <v>77</v>
      </c>
      <c r="C9" s="38" t="s">
        <v>187</v>
      </c>
      <c r="D9" s="38" t="s">
        <v>188</v>
      </c>
      <c r="E9" s="38" t="s">
        <v>189</v>
      </c>
      <c r="F9" s="31"/>
      <c r="G9" s="31"/>
      <c r="H9" s="31"/>
      <c r="I9" s="31"/>
      <c r="J9" s="31"/>
      <c r="K9" s="31"/>
      <c r="L9" s="31"/>
      <c r="M9" s="31"/>
      <c r="N9" s="31"/>
      <c r="O9" s="32"/>
      <c r="P9" s="27"/>
      <c r="Q9" s="27"/>
      <c r="R9" s="27"/>
      <c r="S9" s="27"/>
      <c r="T9" s="27"/>
    </row>
    <row r="10" spans="1:20" ht="30" customHeight="1" x14ac:dyDescent="0.2">
      <c r="A10" s="27"/>
      <c r="B10" s="39" t="s">
        <v>136</v>
      </c>
      <c r="C10" s="42" t="s">
        <v>137</v>
      </c>
      <c r="D10" s="40"/>
      <c r="E10" s="41"/>
      <c r="F10" s="31"/>
      <c r="G10" s="31"/>
      <c r="H10" s="31"/>
      <c r="I10" s="31"/>
      <c r="J10" s="31"/>
      <c r="K10" s="31"/>
      <c r="L10" s="31"/>
      <c r="M10" s="31"/>
      <c r="N10" s="31"/>
      <c r="O10" s="32"/>
      <c r="P10" s="27"/>
      <c r="Q10" s="27"/>
      <c r="R10" s="27"/>
      <c r="S10" s="27"/>
      <c r="T10" s="27"/>
    </row>
    <row r="11" spans="1:20" ht="30" customHeight="1" x14ac:dyDescent="0.2">
      <c r="A11" s="27"/>
      <c r="B11" s="171" t="s">
        <v>25</v>
      </c>
      <c r="C11" s="173" t="s">
        <v>26</v>
      </c>
      <c r="D11" s="173"/>
      <c r="E11" s="174"/>
      <c r="F11" s="31"/>
      <c r="G11" s="31"/>
      <c r="H11" s="31"/>
      <c r="I11" s="31"/>
      <c r="J11" s="31"/>
      <c r="K11" s="31"/>
      <c r="L11" s="31"/>
      <c r="M11" s="31"/>
      <c r="N11" s="31"/>
      <c r="O11" s="32"/>
      <c r="P11" s="27"/>
      <c r="Q11" s="27"/>
      <c r="R11" s="27"/>
      <c r="S11" s="27"/>
      <c r="T11" s="27"/>
    </row>
    <row r="12" spans="1:20" ht="30" customHeight="1" x14ac:dyDescent="0.2">
      <c r="A12" s="27"/>
      <c r="B12" s="39" t="s">
        <v>23</v>
      </c>
      <c r="C12" s="42" t="s">
        <v>138</v>
      </c>
      <c r="D12" s="42" t="s">
        <v>24</v>
      </c>
      <c r="E12" s="43"/>
      <c r="F12" s="31"/>
      <c r="G12" s="31"/>
      <c r="H12" s="31"/>
      <c r="I12" s="31"/>
      <c r="J12" s="31"/>
      <c r="K12" s="31"/>
      <c r="L12" s="31"/>
      <c r="M12" s="31"/>
      <c r="N12" s="31"/>
      <c r="O12" s="32"/>
      <c r="P12" s="27"/>
      <c r="Q12" s="27"/>
      <c r="R12" s="27"/>
      <c r="S12" s="27"/>
      <c r="T12" s="27"/>
    </row>
    <row r="13" spans="1:20" ht="30" customHeight="1" x14ac:dyDescent="0.2">
      <c r="A13" s="27"/>
      <c r="B13" s="171" t="s">
        <v>97</v>
      </c>
      <c r="C13" s="173" t="s">
        <v>80</v>
      </c>
      <c r="D13" s="173"/>
      <c r="E13" s="174"/>
      <c r="F13" s="31"/>
      <c r="G13" s="31"/>
      <c r="H13" s="31"/>
      <c r="I13" s="31"/>
      <c r="J13" s="31"/>
      <c r="K13" s="31"/>
      <c r="L13" s="31"/>
      <c r="M13" s="31"/>
      <c r="N13" s="31"/>
      <c r="O13" s="32"/>
      <c r="P13" s="27"/>
      <c r="Q13" s="27"/>
      <c r="R13" s="27"/>
      <c r="S13" s="27"/>
      <c r="T13" s="27"/>
    </row>
    <row r="14" spans="1:20" ht="30" customHeight="1" x14ac:dyDescent="0.2">
      <c r="A14" s="27"/>
      <c r="B14" s="39" t="s">
        <v>98</v>
      </c>
      <c r="C14" s="40" t="s">
        <v>81</v>
      </c>
      <c r="D14" s="40"/>
      <c r="E14" s="41"/>
      <c r="F14" s="31"/>
      <c r="G14" s="31"/>
      <c r="H14" s="31"/>
      <c r="I14" s="31"/>
      <c r="J14" s="31"/>
      <c r="K14" s="31"/>
      <c r="L14" s="31"/>
      <c r="M14" s="31"/>
      <c r="N14" s="31"/>
      <c r="O14" s="32"/>
      <c r="P14" s="27"/>
      <c r="Q14" s="27"/>
      <c r="R14" s="27"/>
      <c r="S14" s="27"/>
      <c r="T14" s="27"/>
    </row>
    <row r="15" spans="1:20" ht="30" customHeight="1" x14ac:dyDescent="0.2">
      <c r="A15" s="27"/>
      <c r="B15" s="171" t="s">
        <v>96</v>
      </c>
      <c r="C15" s="173" t="s">
        <v>82</v>
      </c>
      <c r="D15" s="173"/>
      <c r="E15" s="174"/>
      <c r="F15" s="31"/>
      <c r="G15" s="31"/>
      <c r="H15" s="31"/>
      <c r="I15" s="31"/>
      <c r="J15" s="31"/>
      <c r="K15" s="31"/>
      <c r="L15" s="31"/>
      <c r="M15" s="31"/>
      <c r="N15" s="31"/>
      <c r="O15" s="32"/>
      <c r="P15" s="27"/>
      <c r="Q15" s="27"/>
      <c r="R15" s="27"/>
      <c r="S15" s="27"/>
      <c r="T15" s="27"/>
    </row>
    <row r="16" spans="1:20" ht="30" customHeight="1" x14ac:dyDescent="0.2">
      <c r="A16" s="27"/>
      <c r="B16" s="39" t="s">
        <v>20</v>
      </c>
      <c r="C16" s="40" t="s">
        <v>21</v>
      </c>
      <c r="D16" s="40" t="s">
        <v>22</v>
      </c>
      <c r="E16" s="41"/>
      <c r="F16" s="31"/>
      <c r="G16" s="31"/>
      <c r="H16" s="31"/>
      <c r="I16" s="31"/>
      <c r="J16" s="31"/>
      <c r="K16" s="31"/>
      <c r="L16" s="31"/>
      <c r="M16" s="31"/>
      <c r="N16" s="31"/>
      <c r="O16" s="32"/>
      <c r="P16" s="27"/>
      <c r="Q16" s="27"/>
      <c r="R16" s="27"/>
      <c r="S16" s="27"/>
      <c r="T16" s="27"/>
    </row>
    <row r="17" spans="1:20" ht="25" customHeight="1" x14ac:dyDescent="0.2">
      <c r="A17" s="27"/>
      <c r="C17" s="6"/>
      <c r="D17" s="6"/>
      <c r="E17" s="6"/>
      <c r="F17" s="33"/>
      <c r="G17" s="33"/>
      <c r="H17" s="33"/>
      <c r="I17" s="33"/>
      <c r="J17" s="33"/>
      <c r="K17" s="33"/>
      <c r="L17" s="33"/>
      <c r="M17" s="33"/>
      <c r="N17" s="33"/>
      <c r="O17" s="34"/>
      <c r="P17" s="27"/>
      <c r="Q17" s="27"/>
      <c r="R17" s="27"/>
      <c r="S17" s="27"/>
      <c r="T17" s="27"/>
    </row>
    <row r="18" spans="1:20" ht="30" customHeight="1" x14ac:dyDescent="0.2">
      <c r="A18" s="27"/>
      <c r="B18" s="37" t="s">
        <v>78</v>
      </c>
      <c r="C18" s="38" t="s">
        <v>187</v>
      </c>
      <c r="D18" s="38" t="s">
        <v>188</v>
      </c>
      <c r="E18" s="38" t="s">
        <v>189</v>
      </c>
      <c r="F18" s="35"/>
      <c r="G18" s="35"/>
      <c r="H18" s="35"/>
      <c r="I18" s="35"/>
      <c r="J18" s="35"/>
      <c r="K18" s="35"/>
      <c r="L18" s="35"/>
      <c r="M18" s="35"/>
      <c r="N18" s="35"/>
      <c r="O18" s="34"/>
      <c r="P18" s="27"/>
      <c r="Q18" s="27"/>
      <c r="R18" s="27"/>
      <c r="S18" s="27"/>
      <c r="T18" s="27"/>
    </row>
    <row r="19" spans="1:20" ht="30" customHeight="1" x14ac:dyDescent="0.2">
      <c r="A19" s="27"/>
      <c r="B19" s="39" t="s">
        <v>2</v>
      </c>
      <c r="C19" s="40" t="s">
        <v>40</v>
      </c>
      <c r="D19" s="40"/>
      <c r="E19" s="41"/>
      <c r="F19" s="31"/>
      <c r="G19" s="31"/>
      <c r="H19" s="31"/>
      <c r="I19" s="31"/>
      <c r="J19" s="31"/>
      <c r="K19" s="31"/>
      <c r="L19" s="31"/>
      <c r="M19" s="31"/>
      <c r="N19" s="31"/>
      <c r="O19" s="34"/>
      <c r="P19" s="27"/>
      <c r="Q19" s="27"/>
      <c r="R19" s="27"/>
      <c r="S19" s="27"/>
      <c r="T19" s="27"/>
    </row>
    <row r="20" spans="1:20" ht="30" customHeight="1" x14ac:dyDescent="0.2">
      <c r="A20" s="27"/>
      <c r="B20" s="171" t="s">
        <v>4</v>
      </c>
      <c r="C20" s="173" t="s">
        <v>41</v>
      </c>
      <c r="D20" s="173"/>
      <c r="E20" s="174"/>
      <c r="F20" s="31"/>
      <c r="G20" s="31"/>
      <c r="H20" s="31"/>
      <c r="I20" s="31"/>
      <c r="J20" s="31"/>
      <c r="K20" s="31"/>
      <c r="L20" s="31"/>
      <c r="M20" s="31"/>
      <c r="N20" s="31"/>
      <c r="O20" s="34"/>
      <c r="P20" s="27"/>
      <c r="Q20" s="27"/>
      <c r="R20" s="27"/>
      <c r="S20" s="27"/>
      <c r="T20" s="27"/>
    </row>
    <row r="21" spans="1:20" ht="30" customHeight="1" x14ac:dyDescent="0.2">
      <c r="A21" s="27"/>
      <c r="B21" s="39" t="s">
        <v>39</v>
      </c>
      <c r="C21" s="40" t="s">
        <v>42</v>
      </c>
      <c r="D21" s="40"/>
      <c r="E21" s="41"/>
      <c r="F21" s="31"/>
      <c r="G21" s="31"/>
      <c r="H21" s="31"/>
      <c r="I21" s="31"/>
      <c r="J21" s="31"/>
      <c r="K21" s="31"/>
      <c r="L21" s="31"/>
      <c r="M21" s="31"/>
      <c r="N21" s="31"/>
      <c r="O21" s="34"/>
      <c r="P21" s="27"/>
      <c r="Q21" s="27"/>
      <c r="R21" s="27"/>
      <c r="S21" s="27"/>
      <c r="T21" s="27"/>
    </row>
    <row r="22" spans="1:20" ht="30" customHeight="1" x14ac:dyDescent="0.2">
      <c r="A22" s="27"/>
      <c r="B22" s="171" t="s">
        <v>6</v>
      </c>
      <c r="C22" s="173" t="s">
        <v>43</v>
      </c>
      <c r="D22" s="173"/>
      <c r="E22" s="174"/>
      <c r="F22" s="31"/>
      <c r="G22" s="31"/>
      <c r="H22" s="31"/>
      <c r="I22" s="31"/>
      <c r="J22" s="31"/>
      <c r="K22" s="31"/>
      <c r="L22" s="31"/>
      <c r="M22" s="31"/>
      <c r="N22" s="31"/>
      <c r="O22" s="34"/>
      <c r="P22" s="27"/>
      <c r="Q22" s="27"/>
      <c r="R22" s="27"/>
      <c r="S22" s="27"/>
      <c r="T22" s="27"/>
    </row>
    <row r="23" spans="1:20" ht="25" customHeight="1" x14ac:dyDescent="0.2">
      <c r="A23" s="27"/>
      <c r="B23" s="39"/>
      <c r="C23" s="40"/>
      <c r="D23" s="40"/>
      <c r="E23" s="41"/>
      <c r="F23" s="31"/>
      <c r="G23" s="31"/>
      <c r="H23" s="31"/>
      <c r="I23" s="31"/>
      <c r="J23" s="31"/>
      <c r="K23" s="31"/>
      <c r="L23" s="31"/>
      <c r="M23" s="31"/>
      <c r="N23" s="31"/>
      <c r="O23" s="34"/>
      <c r="P23" s="27"/>
      <c r="Q23" s="27"/>
      <c r="R23" s="27"/>
      <c r="S23" s="27"/>
      <c r="T23" s="27"/>
    </row>
    <row r="24" spans="1:20" ht="30" customHeight="1" x14ac:dyDescent="0.2">
      <c r="A24" s="27"/>
      <c r="B24" s="37" t="s">
        <v>79</v>
      </c>
      <c r="C24" s="38" t="s">
        <v>187</v>
      </c>
      <c r="D24" s="38" t="s">
        <v>188</v>
      </c>
      <c r="E24" s="38" t="s">
        <v>189</v>
      </c>
      <c r="F24" s="29"/>
      <c r="G24" s="29"/>
      <c r="H24" s="29"/>
      <c r="I24" s="29"/>
      <c r="J24" s="29"/>
      <c r="K24" s="29"/>
      <c r="L24" s="29"/>
      <c r="M24" s="29"/>
      <c r="N24" s="29"/>
      <c r="O24" s="32"/>
      <c r="P24" s="27"/>
      <c r="Q24" s="27"/>
      <c r="R24" s="27"/>
      <c r="S24" s="27"/>
      <c r="T24" s="27"/>
    </row>
    <row r="25" spans="1:20" ht="34" x14ac:dyDescent="0.2">
      <c r="A25" s="27"/>
      <c r="B25" s="39" t="s">
        <v>102</v>
      </c>
      <c r="C25" s="44" t="s">
        <v>48</v>
      </c>
      <c r="D25" s="44" t="s">
        <v>46</v>
      </c>
      <c r="E25" s="45"/>
      <c r="F25" s="315"/>
      <c r="G25" s="315"/>
      <c r="H25" s="315"/>
      <c r="I25" s="36"/>
      <c r="J25" s="36"/>
      <c r="K25" s="36"/>
      <c r="L25" s="36"/>
      <c r="M25" s="36"/>
      <c r="N25" s="36"/>
      <c r="O25" s="34"/>
      <c r="P25" s="27"/>
      <c r="Q25" s="27"/>
      <c r="R25" s="27"/>
      <c r="S25" s="27"/>
      <c r="T25" s="27"/>
    </row>
    <row r="26" spans="1:20" ht="30" customHeight="1" x14ac:dyDescent="0.2">
      <c r="A26" s="27"/>
      <c r="B26" s="171" t="s">
        <v>44</v>
      </c>
      <c r="C26" s="175" t="s">
        <v>190</v>
      </c>
      <c r="D26" s="175"/>
      <c r="E26" s="176"/>
      <c r="F26" s="315"/>
      <c r="G26" s="315"/>
      <c r="H26" s="315"/>
      <c r="I26" s="36"/>
      <c r="J26" s="36"/>
      <c r="K26" s="36"/>
      <c r="L26" s="36"/>
      <c r="M26" s="36"/>
      <c r="N26" s="36"/>
      <c r="O26" s="34"/>
      <c r="P26" s="27"/>
      <c r="Q26" s="27"/>
      <c r="R26" s="27"/>
      <c r="S26" s="27"/>
      <c r="T26" s="27"/>
    </row>
    <row r="27" spans="1:20" ht="30" customHeight="1" x14ac:dyDescent="0.2">
      <c r="A27" s="27"/>
      <c r="B27" s="39" t="s">
        <v>45</v>
      </c>
      <c r="C27" s="44" t="s">
        <v>47</v>
      </c>
      <c r="D27" s="46"/>
      <c r="E27" s="45"/>
      <c r="F27" s="315"/>
      <c r="G27" s="315"/>
      <c r="H27" s="315"/>
      <c r="I27" s="36"/>
      <c r="J27" s="36"/>
      <c r="K27" s="36"/>
      <c r="L27" s="36"/>
      <c r="M27" s="36"/>
      <c r="N27" s="36"/>
      <c r="O27" s="30"/>
      <c r="P27" s="27"/>
      <c r="Q27" s="27"/>
      <c r="R27" s="27"/>
      <c r="S27" s="27"/>
      <c r="T27" s="27"/>
    </row>
    <row r="28" spans="1:20" ht="25" customHeight="1" x14ac:dyDescent="0.2">
      <c r="A28" s="27"/>
      <c r="B28" s="39"/>
      <c r="C28" s="44"/>
      <c r="D28" s="46"/>
      <c r="E28" s="45"/>
      <c r="F28" s="34"/>
      <c r="G28" s="34"/>
      <c r="H28" s="34"/>
      <c r="I28" s="36"/>
      <c r="J28" s="36"/>
      <c r="K28" s="36"/>
      <c r="L28" s="36"/>
      <c r="M28" s="36"/>
      <c r="N28" s="36"/>
      <c r="O28" s="30"/>
      <c r="P28" s="27"/>
      <c r="Q28" s="27"/>
      <c r="R28" s="27"/>
      <c r="S28" s="27"/>
      <c r="T28" s="27"/>
    </row>
    <row r="29" spans="1:20" ht="30" customHeight="1" x14ac:dyDescent="0.2">
      <c r="A29" s="27"/>
      <c r="B29" s="37" t="s">
        <v>6</v>
      </c>
      <c r="C29" s="38" t="s">
        <v>187</v>
      </c>
      <c r="D29" s="38" t="s">
        <v>188</v>
      </c>
      <c r="E29" s="38" t="s">
        <v>189</v>
      </c>
      <c r="F29" s="315"/>
      <c r="G29" s="315"/>
      <c r="H29" s="315"/>
      <c r="I29" s="36"/>
      <c r="J29" s="36"/>
      <c r="K29" s="36"/>
      <c r="L29" s="36"/>
      <c r="M29" s="36"/>
      <c r="N29" s="36"/>
      <c r="O29" s="30"/>
      <c r="P29" s="27"/>
      <c r="Q29" s="27"/>
      <c r="R29" s="27"/>
      <c r="S29" s="27"/>
      <c r="T29" s="27"/>
    </row>
    <row r="30" spans="1:20" ht="52" customHeight="1" x14ac:dyDescent="0.2">
      <c r="A30" s="27"/>
      <c r="B30" s="39" t="s">
        <v>50</v>
      </c>
      <c r="C30" s="42" t="s">
        <v>49</v>
      </c>
      <c r="D30" s="45" t="s">
        <v>83</v>
      </c>
      <c r="E30" s="45" t="s">
        <v>139</v>
      </c>
      <c r="F30" s="29"/>
      <c r="G30" s="29"/>
      <c r="H30" s="29"/>
      <c r="I30" s="29"/>
      <c r="J30" s="29"/>
      <c r="K30" s="29"/>
      <c r="L30" s="29"/>
      <c r="M30" s="29"/>
      <c r="N30" s="29"/>
      <c r="O30" s="27"/>
      <c r="P30" s="27"/>
      <c r="Q30" s="27"/>
      <c r="R30" s="27"/>
      <c r="S30" s="27"/>
      <c r="T30" s="27"/>
    </row>
    <row r="31" spans="1:20" ht="35" x14ac:dyDescent="0.2">
      <c r="A31" s="27"/>
      <c r="B31" s="171" t="s">
        <v>55</v>
      </c>
      <c r="C31" s="172" t="s">
        <v>76</v>
      </c>
      <c r="D31" s="175" t="s">
        <v>84</v>
      </c>
      <c r="E31" s="176" t="s">
        <v>85</v>
      </c>
      <c r="F31" s="29"/>
      <c r="G31" s="29"/>
      <c r="H31" s="29"/>
      <c r="I31" s="29"/>
      <c r="J31" s="29"/>
      <c r="K31" s="29"/>
      <c r="L31" s="29"/>
      <c r="M31" s="29"/>
      <c r="N31" s="29"/>
      <c r="O31" s="27"/>
      <c r="P31" s="27"/>
      <c r="Q31" s="27"/>
      <c r="R31" s="27"/>
      <c r="S31" s="27"/>
      <c r="T31" s="27"/>
    </row>
    <row r="32" spans="1:20" ht="51" x14ac:dyDescent="0.2">
      <c r="A32" s="27"/>
      <c r="B32" s="39" t="s">
        <v>51</v>
      </c>
      <c r="C32" s="42" t="s">
        <v>52</v>
      </c>
      <c r="D32" s="42" t="s">
        <v>53</v>
      </c>
      <c r="E32" s="45"/>
      <c r="F32" s="29"/>
      <c r="G32" s="29"/>
      <c r="H32" s="29"/>
      <c r="I32" s="29"/>
      <c r="J32" s="29"/>
      <c r="K32" s="29"/>
      <c r="L32" s="29"/>
      <c r="M32" s="29"/>
      <c r="N32" s="29"/>
      <c r="O32" s="27"/>
      <c r="P32" s="27"/>
      <c r="Q32" s="27"/>
      <c r="R32" s="27"/>
      <c r="S32" s="27"/>
      <c r="T32" s="27"/>
    </row>
    <row r="33" spans="1:20" ht="52" customHeight="1" x14ac:dyDescent="0.2">
      <c r="A33" s="27"/>
      <c r="B33" s="171" t="s">
        <v>6</v>
      </c>
      <c r="C33" s="172" t="s">
        <v>54</v>
      </c>
      <c r="D33" s="176"/>
      <c r="E33" s="176"/>
      <c r="F33" s="29"/>
      <c r="G33" s="29"/>
      <c r="H33" s="29"/>
      <c r="I33" s="29"/>
      <c r="J33" s="29"/>
      <c r="K33" s="29"/>
      <c r="L33" s="29"/>
      <c r="M33" s="29"/>
      <c r="N33" s="29"/>
      <c r="O33" s="27"/>
      <c r="P33" s="27"/>
      <c r="Q33" s="27"/>
      <c r="R33" s="27"/>
      <c r="S33" s="27"/>
      <c r="T33" s="27"/>
    </row>
    <row r="34" spans="1:20" ht="26" hidden="1" customHeight="1" x14ac:dyDescent="0.2">
      <c r="A34" s="27"/>
      <c r="B34" s="47"/>
      <c r="C34" s="48"/>
      <c r="D34" s="48"/>
      <c r="E34" s="48"/>
      <c r="F34" s="27"/>
      <c r="G34" s="27"/>
      <c r="H34" s="27"/>
      <c r="I34" s="27"/>
      <c r="J34" s="27"/>
      <c r="K34" s="27"/>
      <c r="L34" s="27"/>
      <c r="M34" s="27"/>
      <c r="N34" s="27"/>
      <c r="O34" s="27"/>
      <c r="P34" s="27"/>
      <c r="Q34" s="27"/>
      <c r="R34" s="27"/>
      <c r="S34" s="27"/>
      <c r="T34" s="27"/>
    </row>
    <row r="35" spans="1:20" ht="26" hidden="1" customHeight="1" x14ac:dyDescent="0.2">
      <c r="A35" s="27"/>
      <c r="B35" s="47"/>
      <c r="C35" s="48"/>
      <c r="D35" s="48"/>
      <c r="E35" s="48"/>
      <c r="F35" s="27"/>
      <c r="G35" s="27"/>
      <c r="H35" s="27"/>
      <c r="I35" s="27"/>
      <c r="J35" s="27"/>
      <c r="K35" s="27"/>
      <c r="L35" s="27"/>
      <c r="M35" s="27"/>
      <c r="N35" s="27"/>
      <c r="O35" s="27"/>
      <c r="P35" s="27"/>
      <c r="Q35" s="27"/>
      <c r="R35" s="27"/>
      <c r="S35" s="27"/>
      <c r="T35" s="27"/>
    </row>
    <row r="36" spans="1:20" ht="26" hidden="1" customHeight="1" x14ac:dyDescent="0.2">
      <c r="A36" s="27"/>
      <c r="B36" s="49"/>
      <c r="C36" s="48"/>
      <c r="D36" s="48"/>
      <c r="E36" s="48"/>
      <c r="F36" s="27"/>
      <c r="G36" s="27"/>
      <c r="H36" s="27"/>
      <c r="I36" s="27"/>
      <c r="J36" s="27"/>
      <c r="K36" s="27"/>
      <c r="L36" s="27"/>
      <c r="M36" s="27"/>
      <c r="N36" s="27"/>
      <c r="O36" s="27"/>
      <c r="P36" s="27"/>
      <c r="Q36" s="27"/>
      <c r="R36" s="27"/>
      <c r="S36" s="27"/>
      <c r="T36" s="27"/>
    </row>
    <row r="37" spans="1:20" ht="26" hidden="1" customHeight="1" x14ac:dyDescent="0.2">
      <c r="A37" s="27"/>
      <c r="B37" s="49"/>
      <c r="C37" s="48"/>
      <c r="D37" s="48"/>
      <c r="E37" s="48"/>
      <c r="F37" s="27"/>
      <c r="G37" s="27"/>
      <c r="H37" s="27"/>
      <c r="I37" s="27"/>
      <c r="J37" s="27"/>
      <c r="K37" s="27"/>
      <c r="L37" s="27"/>
      <c r="M37" s="27"/>
      <c r="N37" s="27"/>
      <c r="O37" s="27"/>
      <c r="P37" s="27"/>
      <c r="Q37" s="27"/>
      <c r="R37" s="27"/>
      <c r="S37" s="27"/>
      <c r="T37" s="27"/>
    </row>
    <row r="38" spans="1:20" ht="26" hidden="1" customHeight="1" x14ac:dyDescent="0.2">
      <c r="A38" s="27"/>
      <c r="B38" s="49"/>
      <c r="C38" s="48"/>
      <c r="D38" s="48"/>
      <c r="E38" s="48"/>
      <c r="F38" s="27"/>
      <c r="G38" s="27"/>
      <c r="H38" s="27"/>
      <c r="I38" s="27"/>
      <c r="J38" s="27"/>
      <c r="K38" s="27"/>
      <c r="L38" s="27"/>
      <c r="M38" s="27"/>
      <c r="N38" s="27"/>
      <c r="O38" s="27"/>
      <c r="P38" s="27"/>
      <c r="Q38" s="27"/>
      <c r="R38" s="27"/>
      <c r="S38" s="27"/>
      <c r="T38" s="27"/>
    </row>
    <row r="39" spans="1:20" hidden="1" x14ac:dyDescent="0.2">
      <c r="A39" s="27"/>
      <c r="B39" s="49"/>
      <c r="C39" s="48"/>
      <c r="D39" s="48"/>
      <c r="E39" s="48"/>
      <c r="F39" s="27"/>
      <c r="G39" s="27"/>
      <c r="H39" s="27"/>
      <c r="I39" s="27"/>
      <c r="J39" s="27"/>
      <c r="K39" s="27"/>
      <c r="L39" s="27"/>
      <c r="M39" s="27"/>
      <c r="N39" s="27"/>
      <c r="O39" s="27"/>
      <c r="P39" s="27"/>
      <c r="Q39" s="27"/>
      <c r="R39" s="27"/>
      <c r="S39" s="27"/>
      <c r="T39" s="27"/>
    </row>
    <row r="40" spans="1:20" hidden="1" x14ac:dyDescent="0.2">
      <c r="A40" s="27"/>
      <c r="B40" s="49"/>
      <c r="C40" s="48"/>
      <c r="D40" s="48"/>
      <c r="E40" s="48"/>
      <c r="F40" s="27"/>
      <c r="G40" s="27"/>
      <c r="H40" s="27"/>
      <c r="I40" s="27"/>
      <c r="J40" s="27"/>
      <c r="K40" s="27"/>
      <c r="L40" s="27"/>
      <c r="M40" s="27"/>
      <c r="N40" s="27"/>
      <c r="O40" s="27"/>
      <c r="P40" s="27"/>
      <c r="Q40" s="27"/>
      <c r="R40" s="27"/>
      <c r="S40" s="27"/>
      <c r="T40" s="27"/>
    </row>
    <row r="41" spans="1:20" hidden="1" x14ac:dyDescent="0.2">
      <c r="A41" s="27"/>
      <c r="B41" s="49"/>
      <c r="C41" s="48"/>
      <c r="D41" s="48"/>
      <c r="E41" s="48"/>
      <c r="F41" s="27"/>
      <c r="G41" s="27"/>
      <c r="H41" s="27"/>
      <c r="I41" s="27"/>
      <c r="J41" s="27"/>
      <c r="K41" s="27"/>
      <c r="L41" s="27"/>
      <c r="M41" s="27"/>
      <c r="N41" s="27"/>
      <c r="O41" s="27"/>
      <c r="P41" s="27"/>
      <c r="Q41" s="27"/>
      <c r="R41" s="27"/>
      <c r="S41" s="27"/>
      <c r="T41" s="27"/>
    </row>
    <row r="42" spans="1:20" hidden="1" x14ac:dyDescent="0.2">
      <c r="A42" s="27"/>
      <c r="B42" s="49"/>
      <c r="C42" s="48"/>
      <c r="D42" s="48"/>
      <c r="E42" s="48"/>
      <c r="F42" s="27"/>
      <c r="G42" s="27"/>
      <c r="H42" s="27"/>
      <c r="I42" s="27"/>
      <c r="J42" s="27"/>
      <c r="K42" s="27"/>
      <c r="L42" s="27"/>
      <c r="M42" s="27"/>
      <c r="N42" s="27"/>
      <c r="O42" s="27"/>
      <c r="P42" s="27"/>
      <c r="Q42" s="27"/>
      <c r="R42" s="27"/>
      <c r="S42" s="27"/>
      <c r="T42" s="27"/>
    </row>
    <row r="43" spans="1:20" hidden="1" x14ac:dyDescent="0.2">
      <c r="A43" s="27"/>
      <c r="B43" s="49"/>
      <c r="C43" s="48"/>
      <c r="D43" s="48"/>
      <c r="E43" s="48"/>
      <c r="F43" s="27"/>
      <c r="G43" s="27"/>
      <c r="H43" s="27"/>
      <c r="I43" s="27"/>
      <c r="J43" s="27"/>
      <c r="K43" s="27"/>
      <c r="L43" s="27"/>
      <c r="M43" s="27"/>
      <c r="N43" s="27"/>
      <c r="O43" s="27"/>
      <c r="P43" s="27"/>
      <c r="Q43" s="27"/>
      <c r="R43" s="27"/>
      <c r="S43" s="27"/>
      <c r="T43" s="27"/>
    </row>
    <row r="44" spans="1:20" hidden="1" x14ac:dyDescent="0.2">
      <c r="A44" s="27"/>
      <c r="B44" s="49"/>
      <c r="C44" s="48"/>
      <c r="D44" s="48"/>
      <c r="E44" s="48"/>
      <c r="F44" s="27"/>
      <c r="G44" s="27"/>
      <c r="H44" s="27"/>
      <c r="I44" s="27"/>
      <c r="J44" s="27"/>
      <c r="K44" s="27"/>
      <c r="L44" s="27"/>
      <c r="M44" s="27"/>
      <c r="N44" s="27"/>
      <c r="O44" s="27"/>
      <c r="P44" s="27"/>
      <c r="Q44" s="27"/>
      <c r="R44" s="27"/>
      <c r="S44" s="27"/>
      <c r="T44" s="27"/>
    </row>
    <row r="45" spans="1:20" hidden="1" x14ac:dyDescent="0.2">
      <c r="A45" s="27"/>
      <c r="B45" s="49"/>
      <c r="C45" s="48"/>
      <c r="D45" s="48"/>
      <c r="E45" s="48"/>
      <c r="F45" s="27"/>
      <c r="G45" s="27"/>
      <c r="H45" s="27"/>
      <c r="I45" s="27"/>
      <c r="J45" s="27"/>
      <c r="K45" s="27"/>
      <c r="L45" s="27"/>
      <c r="M45" s="27"/>
      <c r="N45" s="27"/>
      <c r="O45" s="27"/>
      <c r="P45" s="27"/>
      <c r="Q45" s="27"/>
      <c r="R45" s="27"/>
      <c r="S45" s="27"/>
      <c r="T45" s="27"/>
    </row>
    <row r="46" spans="1:20" hidden="1" x14ac:dyDescent="0.2">
      <c r="A46" s="27"/>
      <c r="B46" s="49"/>
      <c r="C46" s="48"/>
      <c r="D46" s="48"/>
      <c r="E46" s="48"/>
      <c r="F46" s="27"/>
      <c r="G46" s="27"/>
      <c r="H46" s="27"/>
      <c r="I46" s="27"/>
      <c r="J46" s="27"/>
      <c r="K46" s="27"/>
      <c r="L46" s="27"/>
      <c r="M46" s="27"/>
      <c r="N46" s="27"/>
      <c r="O46" s="27"/>
      <c r="P46" s="27"/>
      <c r="Q46" s="27"/>
      <c r="R46" s="27"/>
      <c r="S46" s="27"/>
      <c r="T46" s="27"/>
    </row>
    <row r="47" spans="1:20" hidden="1" x14ac:dyDescent="0.2">
      <c r="A47" s="27"/>
      <c r="B47" s="49"/>
      <c r="C47" s="48"/>
      <c r="D47" s="48"/>
      <c r="E47" s="48"/>
      <c r="F47" s="27"/>
      <c r="G47" s="27"/>
      <c r="H47" s="27"/>
      <c r="I47" s="27"/>
      <c r="J47" s="27"/>
      <c r="K47" s="27"/>
      <c r="L47" s="27"/>
      <c r="M47" s="27"/>
      <c r="N47" s="27"/>
      <c r="O47" s="27"/>
      <c r="P47" s="27"/>
      <c r="Q47" s="27"/>
      <c r="R47" s="27"/>
      <c r="S47" s="27"/>
      <c r="T47" s="27"/>
    </row>
    <row r="48" spans="1:20" hidden="1" x14ac:dyDescent="0.2">
      <c r="A48" s="27"/>
      <c r="B48" s="49"/>
      <c r="C48" s="48"/>
      <c r="D48" s="48"/>
      <c r="E48" s="48"/>
      <c r="F48" s="27"/>
      <c r="G48" s="27"/>
      <c r="H48" s="27"/>
      <c r="I48" s="27"/>
      <c r="J48" s="27"/>
      <c r="K48" s="27"/>
      <c r="L48" s="27"/>
      <c r="M48" s="27"/>
      <c r="N48" s="27"/>
      <c r="O48" s="27"/>
      <c r="P48" s="27"/>
      <c r="Q48" s="27"/>
      <c r="R48" s="27"/>
      <c r="S48" s="27"/>
      <c r="T48" s="27"/>
    </row>
    <row r="49" spans="1:20" hidden="1" x14ac:dyDescent="0.2">
      <c r="A49" s="27"/>
      <c r="B49" s="49"/>
      <c r="C49" s="48"/>
      <c r="D49" s="48"/>
      <c r="E49" s="48"/>
      <c r="F49" s="27"/>
      <c r="G49" s="27"/>
      <c r="H49" s="27"/>
      <c r="I49" s="27"/>
      <c r="J49" s="27"/>
      <c r="K49" s="27"/>
      <c r="L49" s="27"/>
      <c r="M49" s="27"/>
      <c r="N49" s="27"/>
      <c r="O49" s="27"/>
      <c r="P49" s="27"/>
      <c r="Q49" s="27"/>
      <c r="R49" s="27"/>
      <c r="S49" s="27"/>
      <c r="T49" s="27"/>
    </row>
    <row r="50" spans="1:20" hidden="1" x14ac:dyDescent="0.2">
      <c r="A50" s="27"/>
      <c r="B50" s="49"/>
      <c r="C50" s="48"/>
      <c r="D50" s="48"/>
      <c r="E50" s="48"/>
      <c r="F50" s="27"/>
      <c r="G50" s="27"/>
      <c r="H50" s="27"/>
      <c r="I50" s="27"/>
      <c r="J50" s="27"/>
      <c r="K50" s="27"/>
      <c r="L50" s="27"/>
      <c r="M50" s="27"/>
      <c r="N50" s="27"/>
      <c r="O50" s="27"/>
      <c r="P50" s="27"/>
      <c r="Q50" s="27"/>
      <c r="R50" s="27"/>
      <c r="S50" s="27"/>
      <c r="T50" s="27"/>
    </row>
    <row r="51" spans="1:20" hidden="1" x14ac:dyDescent="0.2">
      <c r="A51" s="27"/>
      <c r="B51" s="49"/>
      <c r="C51" s="48"/>
      <c r="D51" s="48"/>
      <c r="E51" s="48"/>
      <c r="F51" s="27"/>
      <c r="G51" s="27"/>
      <c r="H51" s="27"/>
      <c r="I51" s="27"/>
      <c r="J51" s="27"/>
      <c r="K51" s="27"/>
      <c r="L51" s="27"/>
      <c r="M51" s="27"/>
      <c r="N51" s="27"/>
      <c r="O51" s="27"/>
      <c r="P51" s="27"/>
      <c r="Q51" s="27"/>
      <c r="R51" s="27"/>
      <c r="S51" s="27"/>
      <c r="T51" s="27"/>
    </row>
    <row r="52" spans="1:20" hidden="1" x14ac:dyDescent="0.2">
      <c r="A52" s="27"/>
      <c r="B52" s="49"/>
      <c r="C52" s="48"/>
      <c r="D52" s="48"/>
      <c r="E52" s="48"/>
      <c r="F52" s="27"/>
      <c r="G52" s="27"/>
      <c r="H52" s="27"/>
      <c r="I52" s="27"/>
      <c r="J52" s="27"/>
      <c r="K52" s="27"/>
      <c r="L52" s="27"/>
      <c r="M52" s="27"/>
      <c r="N52" s="27"/>
      <c r="O52" s="27"/>
      <c r="P52" s="27"/>
      <c r="Q52" s="27"/>
      <c r="R52" s="27"/>
      <c r="S52" s="27"/>
      <c r="T52" s="27"/>
    </row>
    <row r="53" spans="1:20" hidden="1" x14ac:dyDescent="0.2">
      <c r="A53" s="27"/>
      <c r="B53" s="49"/>
      <c r="C53" s="48"/>
      <c r="D53" s="48"/>
      <c r="E53" s="48"/>
      <c r="F53" s="27"/>
      <c r="G53" s="27"/>
      <c r="H53" s="27"/>
      <c r="I53" s="27"/>
      <c r="J53" s="27"/>
      <c r="K53" s="27"/>
      <c r="L53" s="27"/>
      <c r="M53" s="27"/>
      <c r="N53" s="27"/>
      <c r="O53" s="27"/>
      <c r="P53" s="27"/>
      <c r="Q53" s="27"/>
      <c r="R53" s="27"/>
      <c r="S53" s="27"/>
      <c r="T53" s="27"/>
    </row>
    <row r="54" spans="1:20" hidden="1" x14ac:dyDescent="0.2">
      <c r="A54" s="27"/>
      <c r="B54" s="49"/>
      <c r="C54" s="48"/>
      <c r="D54" s="48"/>
      <c r="E54" s="48"/>
      <c r="F54" s="27"/>
      <c r="G54" s="27"/>
      <c r="H54" s="27"/>
      <c r="I54" s="27"/>
      <c r="J54" s="27"/>
      <c r="K54" s="27"/>
      <c r="L54" s="27"/>
      <c r="M54" s="27"/>
      <c r="N54" s="27"/>
      <c r="O54" s="27"/>
      <c r="P54" s="27"/>
      <c r="Q54" s="27"/>
      <c r="R54" s="27"/>
      <c r="S54" s="27"/>
      <c r="T54" s="27"/>
    </row>
    <row r="55" spans="1:20" hidden="1" x14ac:dyDescent="0.2">
      <c r="B55" s="50"/>
      <c r="C55" s="51"/>
      <c r="D55" s="51"/>
      <c r="E55" s="51"/>
      <c r="I55" s="27"/>
    </row>
    <row r="56" spans="1:20" hidden="1" x14ac:dyDescent="0.2">
      <c r="B56" s="50"/>
      <c r="C56" s="51"/>
      <c r="D56" s="51"/>
      <c r="E56" s="51"/>
    </row>
    <row r="57" spans="1:20" hidden="1" x14ac:dyDescent="0.2">
      <c r="B57" s="50"/>
      <c r="C57" s="51"/>
      <c r="D57" s="51"/>
      <c r="E57" s="51"/>
    </row>
    <row r="58" spans="1:20" hidden="1" x14ac:dyDescent="0.2">
      <c r="B58" s="50"/>
      <c r="C58" s="51"/>
      <c r="D58" s="51"/>
      <c r="E58" s="51"/>
    </row>
    <row r="59" spans="1:20" hidden="1" x14ac:dyDescent="0.2">
      <c r="B59" s="50"/>
      <c r="C59" s="51"/>
      <c r="D59" s="51"/>
      <c r="E59" s="51"/>
    </row>
    <row r="60" spans="1:20" hidden="1" x14ac:dyDescent="0.2">
      <c r="B60" s="50"/>
      <c r="C60" s="51"/>
      <c r="D60" s="51"/>
      <c r="E60" s="51"/>
    </row>
    <row r="61" spans="1:20" hidden="1" x14ac:dyDescent="0.2">
      <c r="B61" s="50"/>
      <c r="C61" s="51"/>
      <c r="D61" s="51"/>
      <c r="E61" s="51"/>
    </row>
    <row r="62" spans="1:20" hidden="1" x14ac:dyDescent="0.2">
      <c r="B62" s="50"/>
      <c r="C62" s="51"/>
      <c r="D62" s="51"/>
      <c r="E62" s="51"/>
    </row>
    <row r="63" spans="1:20" hidden="1" x14ac:dyDescent="0.2">
      <c r="B63" s="50"/>
      <c r="C63" s="51"/>
      <c r="D63" s="51"/>
      <c r="E63" s="51"/>
    </row>
    <row r="64" spans="1:20" hidden="1" x14ac:dyDescent="0.2">
      <c r="B64" s="50"/>
      <c r="C64" s="51"/>
      <c r="D64" s="51"/>
      <c r="E64" s="51"/>
    </row>
    <row r="65" x14ac:dyDescent="0.2"/>
  </sheetData>
  <mergeCells count="4">
    <mergeCell ref="F27:H27"/>
    <mergeCell ref="F29:H29"/>
    <mergeCell ref="F25:H25"/>
    <mergeCell ref="F26:H26"/>
  </mergeCells>
  <pageMargins left="0.7" right="0.7" top="0.75" bottom="0.75" header="0.3" footer="0.3"/>
  <pageSetup paperSize="9" orientation="portrait" horizontalDpi="1200" verticalDpi="1200"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41EDC-2E42-4F91-A115-07FD192CF777}">
  <sheetPr codeName="Hoja13"/>
  <dimension ref="A1:N89"/>
  <sheetViews>
    <sheetView showGridLines="0" workbookViewId="0"/>
  </sheetViews>
  <sheetFormatPr baseColWidth="10" defaultRowHeight="15" x14ac:dyDescent="0.2"/>
  <cols>
    <col min="1" max="1" width="44" bestFit="1" customWidth="1"/>
    <col min="2" max="2" width="11.83203125" style="203" bestFit="1" customWidth="1"/>
    <col min="3" max="12" width="11.5" style="203"/>
  </cols>
  <sheetData>
    <row r="1" spans="1:11" x14ac:dyDescent="0.2">
      <c r="A1" s="76" t="s">
        <v>109</v>
      </c>
      <c r="B1" s="202" t="str">
        <f>'1.IS'!B2</f>
        <v/>
      </c>
      <c r="C1" s="202" t="str">
        <f>'1.IS'!C2</f>
        <v/>
      </c>
      <c r="D1" s="202" t="str">
        <f>'1.IS'!D2</f>
        <v/>
      </c>
      <c r="E1" s="202" t="str">
        <f>'1.IS'!E2</f>
        <v/>
      </c>
      <c r="F1" s="202" t="str">
        <f>'1.IS'!F2</f>
        <v/>
      </c>
      <c r="G1" s="202" t="str">
        <f>'1.IS'!G2</f>
        <v/>
      </c>
      <c r="H1" s="202" t="str">
        <f>'1.IS'!H2</f>
        <v/>
      </c>
      <c r="I1" s="202" t="str">
        <f>'1.IS'!I2</f>
        <v/>
      </c>
      <c r="J1" s="202" t="str">
        <f>'1.IS'!J2</f>
        <v/>
      </c>
      <c r="K1" s="202" t="str">
        <f>'1.IS'!K2</f>
        <v/>
      </c>
    </row>
    <row r="2" spans="1:11" x14ac:dyDescent="0.2">
      <c r="A2" t="s">
        <v>110</v>
      </c>
      <c r="B2" s="204" t="str">
        <f>IFERROR(VLOOKUP($A2,'9.TIKR_CF'!$A:$K,COLUMN(B2),FALSE),"0")</f>
        <v>0</v>
      </c>
      <c r="C2" s="204" t="str">
        <f>IFERROR(VLOOKUP($A2,'9.TIKR_CF'!$A:$K,COLUMN(C2),FALSE),"0")</f>
        <v>0</v>
      </c>
      <c r="D2" s="204" t="str">
        <f>IFERROR(VLOOKUP($A2,'9.TIKR_CF'!$A:$K,COLUMN(D2),FALSE),"0")</f>
        <v>0</v>
      </c>
      <c r="E2" s="204" t="str">
        <f>IFERROR(VLOOKUP($A2,'9.TIKR_CF'!$A:$K,COLUMN(E2),FALSE),"0")</f>
        <v>0</v>
      </c>
      <c r="F2" s="204" t="str">
        <f>IFERROR(VLOOKUP($A2,'9.TIKR_CF'!$A:$K,COLUMN(F2),FALSE),"0")</f>
        <v>0</v>
      </c>
      <c r="G2" s="204" t="str">
        <f>IFERROR(VLOOKUP($A2,'9.TIKR_CF'!$A:$K,COLUMN(G2),FALSE),"0")</f>
        <v>0</v>
      </c>
      <c r="H2" s="204" t="str">
        <f>IFERROR(VLOOKUP($A2,'9.TIKR_CF'!$A:$K,COLUMN(H2),FALSE),"0")</f>
        <v>0</v>
      </c>
      <c r="I2" s="204" t="str">
        <f>IFERROR(VLOOKUP($A2,'9.TIKR_CF'!$A:$K,COLUMN(I2),FALSE),"0")</f>
        <v>0</v>
      </c>
      <c r="J2" s="204" t="str">
        <f>IFERROR(VLOOKUP($A2,'9.TIKR_CF'!$A:$K,COLUMN(J2),FALSE),"0")</f>
        <v>0</v>
      </c>
      <c r="K2" s="204" t="str">
        <f>IFERROR(VLOOKUP($A2,'9.TIKR_CF'!$A:$K,COLUMN(K2),FALSE),"0")</f>
        <v>0</v>
      </c>
    </row>
    <row r="3" spans="1:11" x14ac:dyDescent="0.2">
      <c r="A3" t="s">
        <v>151</v>
      </c>
      <c r="B3" s="204" t="str">
        <f>IFERROR(VLOOKUP($A3,'9.TIKR_CF'!$A:$K,COLUMN(B3),FALSE),"0")</f>
        <v>0</v>
      </c>
      <c r="C3" s="204" t="str">
        <f>IFERROR(VLOOKUP($A3,'9.TIKR_CF'!$A:$K,COLUMN(C3),FALSE),"0")</f>
        <v>0</v>
      </c>
      <c r="D3" s="204" t="str">
        <f>IFERROR(VLOOKUP($A3,'9.TIKR_CF'!$A:$K,COLUMN(D3),FALSE),"0")</f>
        <v>0</v>
      </c>
      <c r="E3" s="204" t="str">
        <f>IFERROR(VLOOKUP($A3,'9.TIKR_CF'!$A:$K,COLUMN(E3),FALSE),"0")</f>
        <v>0</v>
      </c>
      <c r="F3" s="204" t="str">
        <f>IFERROR(VLOOKUP($A3,'9.TIKR_CF'!$A:$K,COLUMN(F3),FALSE),"0")</f>
        <v>0</v>
      </c>
      <c r="G3" s="204" t="str">
        <f>IFERROR(VLOOKUP($A3,'9.TIKR_CF'!$A:$K,COLUMN(G3),FALSE),"0")</f>
        <v>0</v>
      </c>
      <c r="H3" s="204" t="str">
        <f>IFERROR(VLOOKUP($A3,'9.TIKR_CF'!$A:$K,COLUMN(H3),FALSE),"0")</f>
        <v>0</v>
      </c>
      <c r="I3" s="204" t="str">
        <f>IFERROR(VLOOKUP($A3,'9.TIKR_CF'!$A:$K,COLUMN(I3),FALSE),"0")</f>
        <v>0</v>
      </c>
      <c r="J3" s="204" t="str">
        <f>IFERROR(VLOOKUP($A3,'9.TIKR_CF'!$A:$K,COLUMN(J3),FALSE),"0")</f>
        <v>0</v>
      </c>
      <c r="K3" s="204" t="str">
        <f>IFERROR(VLOOKUP($A3,'9.TIKR_CF'!$A:$K,COLUMN(K3),FALSE),"0")</f>
        <v>0</v>
      </c>
    </row>
    <row r="4" spans="1:11" x14ac:dyDescent="0.2">
      <c r="A4" s="163" t="s">
        <v>111</v>
      </c>
      <c r="B4" s="205" t="str">
        <f>IFERROR(VLOOKUP($A4,'9.TIKR_CF'!$A:$K,COLUMN(B4),FALSE),"0")</f>
        <v>0</v>
      </c>
      <c r="C4" s="205" t="str">
        <f>IFERROR(VLOOKUP($A4,'9.TIKR_CF'!$A:$K,COLUMN(C4),FALSE),"0")</f>
        <v>0</v>
      </c>
      <c r="D4" s="205" t="str">
        <f>IFERROR(VLOOKUP($A4,'9.TIKR_CF'!$A:$K,COLUMN(D4),FALSE),"0")</f>
        <v>0</v>
      </c>
      <c r="E4" s="205" t="str">
        <f>IFERROR(VLOOKUP($A4,'9.TIKR_CF'!$A:$K,COLUMN(E4),FALSE),"0")</f>
        <v>0</v>
      </c>
      <c r="F4" s="205" t="str">
        <f>IFERROR(VLOOKUP($A4,'9.TIKR_CF'!$A:$K,COLUMN(F4),FALSE),"0")</f>
        <v>0</v>
      </c>
      <c r="G4" s="205" t="str">
        <f>IFERROR(VLOOKUP($A4,'9.TIKR_CF'!$A:$K,COLUMN(G4),FALSE),"0")</f>
        <v>0</v>
      </c>
      <c r="H4" s="205" t="str">
        <f>IFERROR(VLOOKUP($A4,'9.TIKR_CF'!$A:$K,COLUMN(H4),FALSE),"0")</f>
        <v>0</v>
      </c>
      <c r="I4" s="206" t="str">
        <f>IFERROR(VLOOKUP($A4,'9.TIKR_CF'!$A:$K,COLUMN(I4),FALSE),"0")</f>
        <v>0</v>
      </c>
      <c r="J4" s="206" t="str">
        <f>IFERROR(VLOOKUP($A4,'9.TIKR_CF'!$A:$K,COLUMN(J4),FALSE),"0")</f>
        <v>0</v>
      </c>
      <c r="K4" s="206" t="str">
        <f>IFERROR(VLOOKUP($A4,'9.TIKR_CF'!$A:$K,COLUMN(K4),FALSE),"0")</f>
        <v>0</v>
      </c>
    </row>
    <row r="5" spans="1:11" x14ac:dyDescent="0.2">
      <c r="A5" t="s">
        <v>107</v>
      </c>
      <c r="B5" s="204">
        <f t="shared" ref="B5:K5" si="0">SUM(B2:B4)</f>
        <v>0</v>
      </c>
      <c r="C5" s="204">
        <f t="shared" si="0"/>
        <v>0</v>
      </c>
      <c r="D5" s="204">
        <f t="shared" si="0"/>
        <v>0</v>
      </c>
      <c r="E5" s="204">
        <f t="shared" si="0"/>
        <v>0</v>
      </c>
      <c r="F5" s="204">
        <f t="shared" si="0"/>
        <v>0</v>
      </c>
      <c r="G5" s="204">
        <f t="shared" si="0"/>
        <v>0</v>
      </c>
      <c r="H5" s="204">
        <f t="shared" si="0"/>
        <v>0</v>
      </c>
      <c r="I5" s="204">
        <f t="shared" si="0"/>
        <v>0</v>
      </c>
      <c r="J5" s="204">
        <f t="shared" si="0"/>
        <v>0</v>
      </c>
      <c r="K5" s="204">
        <f t="shared" si="0"/>
        <v>0</v>
      </c>
    </row>
    <row r="6" spans="1:11" x14ac:dyDescent="0.2">
      <c r="A6" s="163" t="s">
        <v>232</v>
      </c>
      <c r="B6" s="205" t="str">
        <f>IFERROR(VLOOKUP($A6,'9.TIKR_CF'!$A:$K,COLUMN(B6),FALSE),"0")</f>
        <v>0</v>
      </c>
      <c r="C6" s="205" t="str">
        <f>IFERROR(VLOOKUP($A6,'9.TIKR_CF'!$A:$K,COLUMN(C6),FALSE),"0")</f>
        <v>0</v>
      </c>
      <c r="D6" s="205" t="str">
        <f>IFERROR(VLOOKUP($A6,'9.TIKR_CF'!$A:$K,COLUMN(D6),FALSE),"0")</f>
        <v>0</v>
      </c>
      <c r="E6" s="205" t="str">
        <f>IFERROR(VLOOKUP($A6,'9.TIKR_CF'!$A:$K,COLUMN(E6),FALSE),"0")</f>
        <v>0</v>
      </c>
      <c r="F6" s="205" t="str">
        <f>IFERROR(VLOOKUP($A6,'9.TIKR_CF'!$A:$K,COLUMN(F6),FALSE),"0")</f>
        <v>0</v>
      </c>
      <c r="G6" s="205" t="str">
        <f>IFERROR(VLOOKUP($A6,'9.TIKR_CF'!$A:$K,COLUMN(G6),FALSE),"0")</f>
        <v>0</v>
      </c>
      <c r="H6" s="205" t="str">
        <f>IFERROR(VLOOKUP($A6,'9.TIKR_CF'!$A:$K,COLUMN(H6),FALSE),"0")</f>
        <v>0</v>
      </c>
      <c r="I6" s="205" t="str">
        <f>IFERROR(VLOOKUP($A6,'9.TIKR_CF'!$A:$K,COLUMN(I6),FALSE),"0")</f>
        <v>0</v>
      </c>
      <c r="J6" s="205" t="str">
        <f>IFERROR(VLOOKUP($A6,'9.TIKR_CF'!$A:$K,COLUMN(J6),FALSE),"0")</f>
        <v>0</v>
      </c>
      <c r="K6" s="205" t="str">
        <f>IFERROR(VLOOKUP($A6,'9.TIKR_CF'!$A:$K,COLUMN(K6),FALSE),"0")</f>
        <v>0</v>
      </c>
    </row>
    <row r="7" spans="1:11" x14ac:dyDescent="0.2">
      <c r="A7" s="73" t="s">
        <v>108</v>
      </c>
      <c r="B7" s="207">
        <f>IF(ABS(B5)&lt;B6,B5,-B6)+B3</f>
        <v>0</v>
      </c>
      <c r="C7" s="207">
        <f t="shared" ref="C7:K7" si="1">IF(ABS(C5)&lt;C6,C5,-C6)+C3</f>
        <v>0</v>
      </c>
      <c r="D7" s="207">
        <f t="shared" si="1"/>
        <v>0</v>
      </c>
      <c r="E7" s="207">
        <f t="shared" si="1"/>
        <v>0</v>
      </c>
      <c r="F7" s="207">
        <f t="shared" si="1"/>
        <v>0</v>
      </c>
      <c r="G7" s="207">
        <f t="shared" si="1"/>
        <v>0</v>
      </c>
      <c r="H7" s="207">
        <f t="shared" si="1"/>
        <v>0</v>
      </c>
      <c r="I7" s="207">
        <f t="shared" si="1"/>
        <v>0</v>
      </c>
      <c r="J7" s="207">
        <f t="shared" si="1"/>
        <v>0</v>
      </c>
      <c r="K7" s="207">
        <f t="shared" si="1"/>
        <v>0</v>
      </c>
    </row>
    <row r="9" spans="1:11" x14ac:dyDescent="0.2">
      <c r="A9" s="76" t="s">
        <v>114</v>
      </c>
      <c r="B9" s="202" t="str">
        <f>'1.IS'!B2</f>
        <v/>
      </c>
      <c r="C9" s="202" t="str">
        <f>'1.IS'!C2</f>
        <v/>
      </c>
      <c r="D9" s="202" t="str">
        <f>'1.IS'!D2</f>
        <v/>
      </c>
      <c r="E9" s="202" t="str">
        <f>'1.IS'!E2</f>
        <v/>
      </c>
      <c r="F9" s="202" t="str">
        <f>'1.IS'!F2</f>
        <v/>
      </c>
      <c r="G9" s="202" t="str">
        <f>'1.IS'!G2</f>
        <v/>
      </c>
      <c r="H9" s="202" t="str">
        <f>'1.IS'!H2</f>
        <v/>
      </c>
      <c r="I9" s="202" t="str">
        <f>'1.IS'!I2</f>
        <v/>
      </c>
      <c r="J9" s="202" t="str">
        <f>'1.IS'!J2</f>
        <v/>
      </c>
      <c r="K9" s="202" t="str">
        <f>'1.IS'!K2</f>
        <v/>
      </c>
    </row>
    <row r="10" spans="1:11" x14ac:dyDescent="0.2">
      <c r="A10" t="s">
        <v>115</v>
      </c>
      <c r="B10" s="204">
        <f t="shared" ref="B10:K10" si="2">B5-B7</f>
        <v>0</v>
      </c>
      <c r="C10" s="204">
        <f t="shared" si="2"/>
        <v>0</v>
      </c>
      <c r="D10" s="204">
        <f t="shared" si="2"/>
        <v>0</v>
      </c>
      <c r="E10" s="204">
        <f t="shared" si="2"/>
        <v>0</v>
      </c>
      <c r="F10" s="204">
        <f t="shared" si="2"/>
        <v>0</v>
      </c>
      <c r="G10" s="204">
        <f t="shared" si="2"/>
        <v>0</v>
      </c>
      <c r="H10" s="204">
        <f t="shared" si="2"/>
        <v>0</v>
      </c>
      <c r="I10" s="204">
        <f t="shared" si="2"/>
        <v>0</v>
      </c>
      <c r="J10" s="204">
        <f t="shared" si="2"/>
        <v>0</v>
      </c>
      <c r="K10" s="204">
        <f t="shared" si="2"/>
        <v>0</v>
      </c>
    </row>
    <row r="11" spans="1:11" x14ac:dyDescent="0.2">
      <c r="A11" s="163" t="s">
        <v>133</v>
      </c>
      <c r="B11" s="208" t="str">
        <f>IFERROR(VLOOKUP("Cash Acquisitions*",'9.TIKR_CF'!$A:$K,COLUMN(B11),FALSE),"0")</f>
        <v>0</v>
      </c>
      <c r="C11" s="208" t="str">
        <f>IFERROR(VLOOKUP("Cash Acquisitions*",'9.TIKR_CF'!$A:$K,COLUMN(C11),FALSE),"0")</f>
        <v>0</v>
      </c>
      <c r="D11" s="208" t="str">
        <f>IFERROR(VLOOKUP("Cash Acquisitions*",'9.TIKR_CF'!$A:$K,COLUMN(D11),FALSE),"0")</f>
        <v>0</v>
      </c>
      <c r="E11" s="208" t="str">
        <f>IFERROR(VLOOKUP("Cash Acquisitions*",'9.TIKR_CF'!$A:$K,COLUMN(E11),FALSE),"0")</f>
        <v>0</v>
      </c>
      <c r="F11" s="208" t="str">
        <f>IFERROR(VLOOKUP("Cash Acquisitions*",'9.TIKR_CF'!$A:$K,COLUMN(F11),FALSE),"0")</f>
        <v>0</v>
      </c>
      <c r="G11" s="208" t="str">
        <f>IFERROR(VLOOKUP("Cash Acquisitions*",'9.TIKR_CF'!$A:$K,COLUMN(G11),FALSE),"0")</f>
        <v>0</v>
      </c>
      <c r="H11" s="208" t="str">
        <f>IFERROR(VLOOKUP("Cash Acquisitions*",'9.TIKR_CF'!$A:$K,COLUMN(H11),FALSE),"0")</f>
        <v>0</v>
      </c>
      <c r="I11" s="208" t="str">
        <f>IFERROR(VLOOKUP("Cash Acquisitions*",'9.TIKR_CF'!$A:$K,COLUMN(I11),FALSE),"0")</f>
        <v>0</v>
      </c>
      <c r="J11" s="208" t="str">
        <f>IFERROR(VLOOKUP("Cash Acquisitions*",'9.TIKR_CF'!$A:$K,COLUMN(J11),FALSE),"0")</f>
        <v>0</v>
      </c>
      <c r="K11" s="208" t="str">
        <f>IFERROR(VLOOKUP("Cash Acquisitions*",'9.TIKR_CF'!$A:$K,COLUMN(K11),FALSE),"0")</f>
        <v>0</v>
      </c>
    </row>
    <row r="12" spans="1:11" x14ac:dyDescent="0.2">
      <c r="A12" s="73" t="s">
        <v>116</v>
      </c>
      <c r="B12" s="207">
        <f>ABS(SUM(B10:B11))</f>
        <v>0</v>
      </c>
      <c r="C12" s="207">
        <f t="shared" ref="C12:K12" si="3">ABS(SUM(C10:C11))</f>
        <v>0</v>
      </c>
      <c r="D12" s="207">
        <f t="shared" si="3"/>
        <v>0</v>
      </c>
      <c r="E12" s="207">
        <f t="shared" si="3"/>
        <v>0</v>
      </c>
      <c r="F12" s="207">
        <f t="shared" si="3"/>
        <v>0</v>
      </c>
      <c r="G12" s="207">
        <f t="shared" si="3"/>
        <v>0</v>
      </c>
      <c r="H12" s="207">
        <f t="shared" si="3"/>
        <v>0</v>
      </c>
      <c r="I12" s="207">
        <f t="shared" si="3"/>
        <v>0</v>
      </c>
      <c r="J12" s="207">
        <f t="shared" si="3"/>
        <v>0</v>
      </c>
      <c r="K12" s="207">
        <f t="shared" si="3"/>
        <v>0</v>
      </c>
    </row>
    <row r="14" spans="1:11" x14ac:dyDescent="0.2">
      <c r="A14" s="76" t="s">
        <v>77</v>
      </c>
      <c r="B14" s="202" t="str">
        <f>'1.IS'!L2</f>
        <v/>
      </c>
      <c r="C14" s="202" t="str">
        <f>'1.IS'!M2</f>
        <v/>
      </c>
      <c r="D14" s="202" t="str">
        <f>'1.IS'!N2</f>
        <v/>
      </c>
      <c r="E14" s="202" t="str">
        <f>'1.IS'!O2</f>
        <v/>
      </c>
      <c r="F14" s="202" t="str">
        <f>'1.IS'!P2</f>
        <v/>
      </c>
      <c r="G14" s="209"/>
      <c r="H14" s="209"/>
      <c r="I14" s="209"/>
      <c r="J14" s="209"/>
      <c r="K14" s="209"/>
    </row>
    <row r="15" spans="1:11" x14ac:dyDescent="0.2">
      <c r="A15" s="19" t="s">
        <v>118</v>
      </c>
      <c r="B15" s="210">
        <f>'4.Valoracion'!$B$19</f>
        <v>0</v>
      </c>
      <c r="C15" s="210">
        <f>'4.Valoracion'!$B$19</f>
        <v>0</v>
      </c>
      <c r="D15" s="210">
        <f>'4.Valoracion'!$B$19</f>
        <v>0</v>
      </c>
      <c r="E15" s="210">
        <f>'4.Valoracion'!$B$19</f>
        <v>0</v>
      </c>
      <c r="F15" s="210">
        <f>'4.Valoracion'!$B$19</f>
        <v>0</v>
      </c>
    </row>
    <row r="17" spans="1:11" x14ac:dyDescent="0.2">
      <c r="A17" s="76" t="s">
        <v>125</v>
      </c>
      <c r="B17" s="211" t="str">
        <f>'1.IS'!K2</f>
        <v/>
      </c>
    </row>
    <row r="18" spans="1:11" x14ac:dyDescent="0.2">
      <c r="A18" t="s">
        <v>127</v>
      </c>
      <c r="B18" s="212">
        <f>IFERROR(SUM('3.ROIC'!$B$6:$K$6)/SUM('3.ROIC'!$B$6:$K$7),0)</f>
        <v>0</v>
      </c>
    </row>
    <row r="19" spans="1:11" x14ac:dyDescent="0.2">
      <c r="A19" t="s">
        <v>126</v>
      </c>
      <c r="B19" s="213">
        <f>IF(B18=0,0,1-B18)</f>
        <v>0</v>
      </c>
    </row>
    <row r="20" spans="1:11" x14ac:dyDescent="0.2">
      <c r="A20" t="s">
        <v>142</v>
      </c>
      <c r="B20" s="204">
        <f>SUM('3.ROIC'!B4:K5)</f>
        <v>0</v>
      </c>
    </row>
    <row r="21" spans="1:11" x14ac:dyDescent="0.2">
      <c r="A21" t="s">
        <v>148</v>
      </c>
      <c r="B21" s="204">
        <f>SUM('3.ROIC'!B5:K5)</f>
        <v>0</v>
      </c>
    </row>
    <row r="22" spans="1:11" x14ac:dyDescent="0.2">
      <c r="A22" t="s">
        <v>141</v>
      </c>
      <c r="B22" s="204">
        <f>SUM('3.ROIC'!B6:K7)</f>
        <v>0</v>
      </c>
    </row>
    <row r="23" spans="1:11" x14ac:dyDescent="0.2">
      <c r="A23" t="s">
        <v>143</v>
      </c>
      <c r="B23" s="204">
        <f>B22-B20</f>
        <v>0</v>
      </c>
    </row>
    <row r="24" spans="1:11" x14ac:dyDescent="0.2">
      <c r="A24" t="s">
        <v>145</v>
      </c>
      <c r="B24" s="204">
        <f>SUM('1.IS'!B13:K13)</f>
        <v>0</v>
      </c>
    </row>
    <row r="25" spans="1:11" x14ac:dyDescent="0.2">
      <c r="A25" t="s">
        <v>144</v>
      </c>
      <c r="B25" s="204">
        <f>SUM('1.IS'!B12:K12)</f>
        <v>0</v>
      </c>
    </row>
    <row r="26" spans="1:11" x14ac:dyDescent="0.2">
      <c r="A26" t="s">
        <v>146</v>
      </c>
      <c r="B26" s="213">
        <f>IFERROR(B24/B21,0)</f>
        <v>0</v>
      </c>
    </row>
    <row r="27" spans="1:11" x14ac:dyDescent="0.2">
      <c r="A27" t="s">
        <v>147</v>
      </c>
      <c r="B27" s="213" t="e">
        <f>ABS(SUM('1.IS'!B12:K12))/B22</f>
        <v>#DIV/0!</v>
      </c>
    </row>
    <row r="28" spans="1:11" x14ac:dyDescent="0.2">
      <c r="B28" s="213"/>
    </row>
    <row r="29" spans="1:11" x14ac:dyDescent="0.2">
      <c r="A29" s="76" t="s">
        <v>182</v>
      </c>
      <c r="B29" s="202" t="str">
        <f>'1.IS'!K2</f>
        <v/>
      </c>
      <c r="C29" s="231" t="str">
        <f>'1.IS'!L2</f>
        <v/>
      </c>
      <c r="D29" s="231" t="str">
        <f>'1.IS'!M2</f>
        <v/>
      </c>
      <c r="E29" s="231" t="str">
        <f>'1.IS'!N2</f>
        <v/>
      </c>
      <c r="F29" s="231" t="str">
        <f>'1.IS'!O2</f>
        <v/>
      </c>
      <c r="G29" s="231" t="str">
        <f>'1.IS'!P2</f>
        <v/>
      </c>
    </row>
    <row r="30" spans="1:11" x14ac:dyDescent="0.2">
      <c r="A30" t="s">
        <v>125</v>
      </c>
      <c r="B30" s="204">
        <f>'4.Valoracion'!K4</f>
        <v>0</v>
      </c>
      <c r="C30" s="232" t="str">
        <f>'4.Valoracion'!L4</f>
        <v/>
      </c>
      <c r="D30" s="232" t="str">
        <f>'4.Valoracion'!M4</f>
        <v/>
      </c>
      <c r="E30" s="232" t="str">
        <f>'4.Valoracion'!N4</f>
        <v/>
      </c>
      <c r="F30" s="232" t="str">
        <f>'4.Valoracion'!O4</f>
        <v/>
      </c>
      <c r="G30" s="232" t="str">
        <f>'4.Valoracion'!P4</f>
        <v/>
      </c>
    </row>
    <row r="31" spans="1:11" x14ac:dyDescent="0.2">
      <c r="A31" t="s">
        <v>183</v>
      </c>
      <c r="B31" s="204">
        <f>B32+B33</f>
        <v>0</v>
      </c>
      <c r="C31" s="232" t="e">
        <f>IF(C30&lt;=0,B31/ABS(B30)*ABS(C30),MIN(B44:K44)*'1.IS'!L3)</f>
        <v>#VALUE!</v>
      </c>
      <c r="D31" s="232" t="e">
        <f>C31/ABS(C30)*ABS(D30)</f>
        <v>#VALUE!</v>
      </c>
      <c r="E31" s="232" t="e">
        <f>D31/ABS(D30)*ABS(E30)</f>
        <v>#VALUE!</v>
      </c>
      <c r="F31" s="232" t="e">
        <f>E31/ABS(E30)*ABS(F30)</f>
        <v>#VALUE!</v>
      </c>
      <c r="G31" s="232" t="e">
        <f>F31/ABS(F30)*ABS(G30)</f>
        <v>#VALUE!</v>
      </c>
      <c r="I31" s="204"/>
      <c r="K31" s="212"/>
    </row>
    <row r="32" spans="1:11" x14ac:dyDescent="0.2">
      <c r="A32" s="230" t="s">
        <v>184</v>
      </c>
      <c r="B32" s="204" t="str">
        <f>'3.ROIC'!K4</f>
        <v>0</v>
      </c>
      <c r="C32" s="232" t="e">
        <f>B32/B31*C31</f>
        <v>#DIV/0!</v>
      </c>
      <c r="D32" s="232" t="e">
        <f>C32/'1.IS'!L3*'1.IS'!M3</f>
        <v>#DIV/0!</v>
      </c>
      <c r="E32" s="232" t="e">
        <f>D32/'1.IS'!M3*'1.IS'!N3</f>
        <v>#DIV/0!</v>
      </c>
      <c r="F32" s="232" t="e">
        <f>E32/'1.IS'!N3*'1.IS'!O3</f>
        <v>#DIV/0!</v>
      </c>
      <c r="G32" s="232" t="e">
        <f>F32/'1.IS'!O3*'1.IS'!P3</f>
        <v>#DIV/0!</v>
      </c>
      <c r="K32" s="212"/>
    </row>
    <row r="33" spans="1:14" x14ac:dyDescent="0.2">
      <c r="A33" s="230" t="s">
        <v>185</v>
      </c>
      <c r="B33" s="204" t="str">
        <f>'3.ROIC'!K5</f>
        <v>0</v>
      </c>
      <c r="C33" s="232" t="e">
        <f>B33/B31*C31</f>
        <v>#DIV/0!</v>
      </c>
      <c r="D33" s="232" t="e">
        <f>C33/'1.IS'!L3*'1.IS'!M3</f>
        <v>#DIV/0!</v>
      </c>
      <c r="E33" s="232" t="e">
        <f>D33/'1.IS'!M3*'1.IS'!N3</f>
        <v>#DIV/0!</v>
      </c>
      <c r="F33" s="232" t="e">
        <f>E33/'1.IS'!N3*'1.IS'!O3</f>
        <v>#DIV/0!</v>
      </c>
      <c r="G33" s="232" t="e">
        <f>F33/'1.IS'!O3*'1.IS'!P3</f>
        <v>#DIV/0!</v>
      </c>
    </row>
    <row r="34" spans="1:14" x14ac:dyDescent="0.2">
      <c r="A34" t="s">
        <v>179</v>
      </c>
      <c r="B34" s="204">
        <f>B30+B31</f>
        <v>0</v>
      </c>
      <c r="C34" s="232" t="e">
        <f>IF(C30&lt;=0,B34/ABS(B30)*ABS(C30),C30+C31)</f>
        <v>#VALUE!</v>
      </c>
      <c r="D34" s="232" t="e">
        <f>C34/ABS(C30)*ABS(D30)</f>
        <v>#VALUE!</v>
      </c>
      <c r="E34" s="232" t="e">
        <f>D34/ABS(D30)*ABS(E30)</f>
        <v>#VALUE!</v>
      </c>
      <c r="F34" s="232" t="e">
        <f>E34/ABS(E30)*ABS(F30)</f>
        <v>#VALUE!</v>
      </c>
      <c r="G34" s="232" t="e">
        <f>F34/ABS(F30)*ABS(G30)</f>
        <v>#VALUE!</v>
      </c>
      <c r="J34" s="204"/>
    </row>
    <row r="35" spans="1:14" x14ac:dyDescent="0.2">
      <c r="A35" s="230" t="s">
        <v>180</v>
      </c>
      <c r="B35" s="204">
        <f>'3.ROIC'!K6</f>
        <v>0</v>
      </c>
      <c r="C35" s="232" t="e">
        <f>IF(C34=0,"0",B35/B34*C34)</f>
        <v>#VALUE!</v>
      </c>
      <c r="D35" s="232" t="e">
        <f t="shared" ref="D35:G35" si="4">IF(D34=0,"0",C35/C34*D34)</f>
        <v>#VALUE!</v>
      </c>
      <c r="E35" s="232" t="e">
        <f t="shared" si="4"/>
        <v>#VALUE!</v>
      </c>
      <c r="F35" s="232" t="e">
        <f t="shared" si="4"/>
        <v>#VALUE!</v>
      </c>
      <c r="G35" s="232" t="e">
        <f t="shared" si="4"/>
        <v>#VALUE!</v>
      </c>
    </row>
    <row r="36" spans="1:14" x14ac:dyDescent="0.2">
      <c r="A36" s="230" t="s">
        <v>181</v>
      </c>
      <c r="B36" s="204">
        <f>'3.ROIC'!K7</f>
        <v>0</v>
      </c>
      <c r="C36" s="232" t="e">
        <f>IF(C34=0,"0",B36/B34*C34)</f>
        <v>#VALUE!</v>
      </c>
      <c r="D36" s="232" t="e">
        <f t="shared" ref="D36:G36" si="5">IF(D34=0,"0",C36/C34*D34)</f>
        <v>#VALUE!</v>
      </c>
      <c r="E36" s="232" t="e">
        <f t="shared" si="5"/>
        <v>#VALUE!</v>
      </c>
      <c r="F36" s="232" t="e">
        <f t="shared" si="5"/>
        <v>#VALUE!</v>
      </c>
      <c r="G36" s="232" t="e">
        <f t="shared" si="5"/>
        <v>#VALUE!</v>
      </c>
    </row>
    <row r="37" spans="1:14" x14ac:dyDescent="0.2">
      <c r="B37" s="213"/>
    </row>
    <row r="38" spans="1:14" x14ac:dyDescent="0.2">
      <c r="A38" s="76" t="s">
        <v>206</v>
      </c>
      <c r="B38" s="202" t="str">
        <f>'1.IS'!B2</f>
        <v/>
      </c>
      <c r="C38" s="202" t="str">
        <f>'1.IS'!C2</f>
        <v/>
      </c>
      <c r="D38" s="202" t="str">
        <f>'1.IS'!D2</f>
        <v/>
      </c>
      <c r="E38" s="202" t="str">
        <f>'1.IS'!E2</f>
        <v/>
      </c>
      <c r="F38" s="202" t="str">
        <f>'1.IS'!F2</f>
        <v/>
      </c>
      <c r="G38" s="202" t="str">
        <f>'1.IS'!G2</f>
        <v/>
      </c>
      <c r="H38" s="202" t="str">
        <f>'1.IS'!H2</f>
        <v/>
      </c>
      <c r="I38" s="202" t="str">
        <f>'1.IS'!I2</f>
        <v/>
      </c>
      <c r="J38" s="202" t="str">
        <f>'1.IS'!J2</f>
        <v/>
      </c>
      <c r="K38" s="202" t="str">
        <f>'1.IS'!K2</f>
        <v/>
      </c>
      <c r="L38" s="233" t="s">
        <v>135</v>
      </c>
    </row>
    <row r="39" spans="1:14" x14ac:dyDescent="0.2">
      <c r="A39" t="s">
        <v>157</v>
      </c>
      <c r="B39" s="204">
        <f t="shared" ref="B39:K39" si="6">ABS(B10)</f>
        <v>0</v>
      </c>
      <c r="C39" s="204">
        <f t="shared" si="6"/>
        <v>0</v>
      </c>
      <c r="D39" s="204">
        <f t="shared" si="6"/>
        <v>0</v>
      </c>
      <c r="E39" s="204">
        <f t="shared" si="6"/>
        <v>0</v>
      </c>
      <c r="F39" s="204">
        <f t="shared" si="6"/>
        <v>0</v>
      </c>
      <c r="G39" s="204">
        <f t="shared" si="6"/>
        <v>0</v>
      </c>
      <c r="H39" s="204">
        <f t="shared" si="6"/>
        <v>0</v>
      </c>
      <c r="I39" s="204">
        <f t="shared" si="6"/>
        <v>0</v>
      </c>
      <c r="J39" s="204">
        <f t="shared" si="6"/>
        <v>0</v>
      </c>
      <c r="K39" s="204">
        <f t="shared" si="6"/>
        <v>0</v>
      </c>
      <c r="L39" s="232">
        <f>SUM(B39:K39)</f>
        <v>0</v>
      </c>
    </row>
    <row r="40" spans="1:14" x14ac:dyDescent="0.2">
      <c r="A40" t="s">
        <v>132</v>
      </c>
      <c r="B40" s="203" t="str">
        <f>IFERROR(ABS(VLOOKUP("Common &amp; Preferred Stock Dividends Paid*",'9.TIKR_CF'!$A:$K,COLUMN(B14),FALSE)),"0")</f>
        <v>0</v>
      </c>
      <c r="C40" s="203" t="str">
        <f>IFERROR(ABS(VLOOKUP("Common &amp; Preferred Stock Dividends Paid*",'9.TIKR_CF'!$A:$K,COLUMN(C14),FALSE)),"0")</f>
        <v>0</v>
      </c>
      <c r="D40" s="203" t="str">
        <f>IFERROR(ABS(VLOOKUP("Common &amp; Preferred Stock Dividends Paid*",'9.TIKR_CF'!$A:$K,COLUMN(D14),FALSE)),"0")</f>
        <v>0</v>
      </c>
      <c r="E40" s="203" t="str">
        <f>IFERROR(ABS(VLOOKUP("Common &amp; Preferred Stock Dividends Paid*",'9.TIKR_CF'!$A:$K,COLUMN(E14),FALSE)),"0")</f>
        <v>0</v>
      </c>
      <c r="F40" s="203" t="str">
        <f>IFERROR(ABS(VLOOKUP("Common &amp; Preferred Stock Dividends Paid*",'9.TIKR_CF'!$A:$K,COLUMN(F14),FALSE)),"0")</f>
        <v>0</v>
      </c>
      <c r="G40" s="203" t="str">
        <f>IFERROR(ABS(VLOOKUP("Common &amp; Preferred Stock Dividends Paid*",'9.TIKR_CF'!$A:$K,COLUMN(G14),FALSE)),"0")</f>
        <v>0</v>
      </c>
      <c r="H40" s="203" t="str">
        <f>IFERROR(ABS(VLOOKUP("Common &amp; Preferred Stock Dividends Paid*",'9.TIKR_CF'!$A:$K,COLUMN(H14),FALSE)),"0")</f>
        <v>0</v>
      </c>
      <c r="I40" s="203" t="str">
        <f>IFERROR(ABS(VLOOKUP("Common &amp; Preferred Stock Dividends Paid*",'9.TIKR_CF'!$A:$K,COLUMN(I14),FALSE)),"0")</f>
        <v>0</v>
      </c>
      <c r="J40" s="203" t="str">
        <f>IFERROR(ABS(VLOOKUP("Common &amp; Preferred Stock Dividends Paid*",'9.TIKR_CF'!$A:$K,COLUMN(J14),FALSE)),"0")</f>
        <v>0</v>
      </c>
      <c r="K40" s="203" t="str">
        <f>IFERROR(ABS(VLOOKUP("Common &amp; Preferred Stock Dividends Paid*",'9.TIKR_CF'!$A:$K,COLUMN(K14),FALSE)),"0")</f>
        <v>0</v>
      </c>
      <c r="L40" s="232">
        <f>SUM(B40:K40)</f>
        <v>0</v>
      </c>
    </row>
    <row r="41" spans="1:14" x14ac:dyDescent="0.2">
      <c r="A41" t="s">
        <v>131</v>
      </c>
      <c r="B41" s="203" t="str">
        <f>IFERROR(ABS(VLOOKUP("Repurchase of Common Stock*",'9.TIKR_CF'!$A:$K,COLUMN(B15),FALSE)),"0")</f>
        <v>0</v>
      </c>
      <c r="C41" s="203" t="str">
        <f>IFERROR(ABS(VLOOKUP("Repurchase of Common Stock*",'9.TIKR_CF'!$A:$K,COLUMN(C15),FALSE)),"0")</f>
        <v>0</v>
      </c>
      <c r="D41" s="203" t="str">
        <f>IFERROR(ABS(VLOOKUP("Repurchase of Common Stock*",'9.TIKR_CF'!$A:$K,COLUMN(D15),FALSE)),"0")</f>
        <v>0</v>
      </c>
      <c r="E41" s="203" t="str">
        <f>IFERROR(ABS(VLOOKUP("Repurchase of Common Stock*",'9.TIKR_CF'!$A:$K,COLUMN(E15),FALSE)),"0")</f>
        <v>0</v>
      </c>
      <c r="F41" s="203" t="str">
        <f>IFERROR(ABS(VLOOKUP("Repurchase of Common Stock*",'9.TIKR_CF'!$A:$K,COLUMN(F15),FALSE)),"0")</f>
        <v>0</v>
      </c>
      <c r="G41" s="203" t="str">
        <f>IFERROR(ABS(VLOOKUP("Repurchase of Common Stock*",'9.TIKR_CF'!$A:$K,COLUMN(G15),FALSE)),"0")</f>
        <v>0</v>
      </c>
      <c r="H41" s="203" t="str">
        <f>IFERROR(ABS(VLOOKUP("Repurchase of Common Stock*",'9.TIKR_CF'!$A:$K,COLUMN(H15),FALSE)),"0")</f>
        <v>0</v>
      </c>
      <c r="I41" s="203" t="str">
        <f>IFERROR(ABS(VLOOKUP("Repurchase of Common Stock*",'9.TIKR_CF'!$A:$K,COLUMN(I15),FALSE)),"0")</f>
        <v>0</v>
      </c>
      <c r="J41" s="203" t="str">
        <f>IFERROR(ABS(VLOOKUP("Repurchase of Common Stock*",'9.TIKR_CF'!$A:$K,COLUMN(J15),FALSE)),"0")</f>
        <v>0</v>
      </c>
      <c r="K41" s="203" t="str">
        <f>IFERROR(ABS(VLOOKUP("Repurchase of Common Stock*",'9.TIKR_CF'!$A:$K,COLUMN(K15),FALSE)),"0")</f>
        <v>0</v>
      </c>
      <c r="L41" s="232">
        <f>SUM(B41:K41)</f>
        <v>0</v>
      </c>
    </row>
    <row r="42" spans="1:14" x14ac:dyDescent="0.2">
      <c r="A42" t="s">
        <v>158</v>
      </c>
      <c r="B42" s="203">
        <f t="shared" ref="B42:K42" si="7">ABS(B11)</f>
        <v>0</v>
      </c>
      <c r="C42" s="203">
        <f t="shared" si="7"/>
        <v>0</v>
      </c>
      <c r="D42" s="203">
        <f t="shared" si="7"/>
        <v>0</v>
      </c>
      <c r="E42" s="203">
        <f t="shared" si="7"/>
        <v>0</v>
      </c>
      <c r="F42" s="203">
        <f t="shared" si="7"/>
        <v>0</v>
      </c>
      <c r="G42" s="203">
        <f t="shared" si="7"/>
        <v>0</v>
      </c>
      <c r="H42" s="203">
        <f t="shared" si="7"/>
        <v>0</v>
      </c>
      <c r="I42" s="203">
        <f t="shared" si="7"/>
        <v>0</v>
      </c>
      <c r="J42" s="203">
        <f t="shared" si="7"/>
        <v>0</v>
      </c>
      <c r="K42" s="203">
        <f t="shared" si="7"/>
        <v>0</v>
      </c>
      <c r="L42" s="232">
        <f>SUM(B42:K42)</f>
        <v>0</v>
      </c>
    </row>
    <row r="43" spans="1:14" x14ac:dyDescent="0.2">
      <c r="A43" t="s">
        <v>191</v>
      </c>
      <c r="B43" s="203">
        <f>IFERROR(ABS(VLOOKUP("Total Debt Repaid*",'9.TIKR_CF'!$A:$K,COLUMN(B19),FALSE))-VLOOKUP("Total Debt Issued*",'9.TIKR_CF'!$A:$K,COLUMN(B19),FALSE),0)</f>
        <v>0</v>
      </c>
      <c r="C43" s="203">
        <f>IFERROR(ABS(VLOOKUP("Total Debt Repaid*",'9.TIKR_CF'!$A:$K,COLUMN(C19),FALSE))-VLOOKUP("Total Debt Issued*",'9.TIKR_CF'!$A:$K,COLUMN(C19),FALSE),0)</f>
        <v>0</v>
      </c>
      <c r="D43" s="203">
        <f>IFERROR(ABS(VLOOKUP("Total Debt Repaid*",'9.TIKR_CF'!$A:$K,COLUMN(D19),FALSE))-VLOOKUP("Total Debt Issued*",'9.TIKR_CF'!$A:$K,COLUMN(D19),FALSE),0)</f>
        <v>0</v>
      </c>
      <c r="E43" s="203">
        <f>IFERROR(ABS(VLOOKUP("Total Debt Repaid*",'9.TIKR_CF'!$A:$K,COLUMN(E19),FALSE))-VLOOKUP("Total Debt Issued*",'9.TIKR_CF'!$A:$K,COLUMN(E19),FALSE),0)</f>
        <v>0</v>
      </c>
      <c r="F43" s="203">
        <f>IFERROR(ABS(VLOOKUP("Total Debt Repaid*",'9.TIKR_CF'!$A:$K,COLUMN(F19),FALSE))-VLOOKUP("Total Debt Issued*",'9.TIKR_CF'!$A:$K,COLUMN(F19),FALSE),0)</f>
        <v>0</v>
      </c>
      <c r="G43" s="203">
        <f>IFERROR(ABS(VLOOKUP("Total Debt Repaid*",'9.TIKR_CF'!$A:$K,COLUMN(G19),FALSE))-VLOOKUP("Total Debt Issued*",'9.TIKR_CF'!$A:$K,COLUMN(G19),FALSE),0)</f>
        <v>0</v>
      </c>
      <c r="H43" s="203">
        <f>IFERROR(ABS(VLOOKUP("Total Debt Repaid*",'9.TIKR_CF'!$A:$K,COLUMN(H19),FALSE))-VLOOKUP("Total Debt Issued*",'9.TIKR_CF'!$A:$K,COLUMN(H19),FALSE),0)</f>
        <v>0</v>
      </c>
      <c r="I43" s="203">
        <f>IFERROR(ABS(VLOOKUP("Total Debt Repaid*",'9.TIKR_CF'!$A:$K,COLUMN(I19),FALSE))-VLOOKUP("Total Debt Issued*",'9.TIKR_CF'!$A:$K,COLUMN(I19),FALSE),0)</f>
        <v>0</v>
      </c>
      <c r="J43" s="203">
        <f>IFERROR(ABS(VLOOKUP("Total Debt Repaid*",'9.TIKR_CF'!$A:$K,COLUMN(J19),FALSE))-VLOOKUP("Total Debt Issued*",'9.TIKR_CF'!$A:$K,COLUMN(J19),FALSE),0)</f>
        <v>0</v>
      </c>
      <c r="K43" s="203">
        <f>IFERROR(ABS(VLOOKUP("Total Debt Repaid*",'9.TIKR_CF'!$A:$K,COLUMN(K19),FALSE))-VLOOKUP("Total Debt Issued*",'9.TIKR_CF'!$A:$K,COLUMN(K19),FALSE),0)</f>
        <v>0</v>
      </c>
      <c r="L43" s="232">
        <f>SUM(B43:K43)</f>
        <v>0</v>
      </c>
    </row>
    <row r="44" spans="1:14" x14ac:dyDescent="0.2">
      <c r="A44" t="s">
        <v>213</v>
      </c>
      <c r="B44" s="212" t="str">
        <f>IFERROR(SUM('3.ROIC'!B4:B5)/'1.IS'!B3,"")</f>
        <v/>
      </c>
      <c r="C44" s="212" t="str">
        <f>IFERROR(SUM('3.ROIC'!C4:C5)/'1.IS'!C3,"")</f>
        <v/>
      </c>
      <c r="D44" s="212" t="str">
        <f>IFERROR(SUM('3.ROIC'!D4:D5)/'1.IS'!D3,"")</f>
        <v/>
      </c>
      <c r="E44" s="212" t="str">
        <f>IFERROR(SUM('3.ROIC'!E4:E5)/'1.IS'!E3,"")</f>
        <v/>
      </c>
      <c r="F44" s="212" t="str">
        <f>IFERROR(SUM('3.ROIC'!F4:F5)/'1.IS'!F3,"")</f>
        <v/>
      </c>
      <c r="G44" s="212" t="str">
        <f>IFERROR(SUM('3.ROIC'!G4:G5)/'1.IS'!G3,"")</f>
        <v/>
      </c>
      <c r="H44" s="212" t="str">
        <f>IFERROR(SUM('3.ROIC'!H4:H5)/'1.IS'!H3,"")</f>
        <v/>
      </c>
      <c r="I44" s="212" t="str">
        <f>IFERROR(SUM('3.ROIC'!I4:I5)/'1.IS'!I3,"")</f>
        <v/>
      </c>
      <c r="J44" s="212" t="str">
        <f>IFERROR(SUM('3.ROIC'!J4:J5)/'1.IS'!J3,"")</f>
        <v/>
      </c>
      <c r="K44" s="212" t="str">
        <f>IFERROR(SUM('3.ROIC'!K4:K5)/'1.IS'!K3,"")</f>
        <v/>
      </c>
      <c r="L44" s="232"/>
      <c r="N44" s="254"/>
    </row>
    <row r="46" spans="1:14" x14ac:dyDescent="0.2">
      <c r="A46" s="73" t="s">
        <v>202</v>
      </c>
    </row>
    <row r="47" spans="1:14" x14ac:dyDescent="0.2">
      <c r="A47" s="76"/>
      <c r="B47" s="202" t="str">
        <f>'1.IS'!C$2</f>
        <v/>
      </c>
      <c r="C47" s="202" t="str">
        <f>'1.IS'!D$2</f>
        <v/>
      </c>
      <c r="D47" s="202" t="str">
        <f>'1.IS'!E$2</f>
        <v/>
      </c>
      <c r="E47" s="202" t="str">
        <f>'1.IS'!F$2</f>
        <v/>
      </c>
      <c r="F47" s="202" t="str">
        <f>'1.IS'!G$2</f>
        <v/>
      </c>
      <c r="G47" s="202" t="str">
        <f>'1.IS'!H$2</f>
        <v/>
      </c>
      <c r="H47" s="202" t="str">
        <f>'1.IS'!I$2</f>
        <v/>
      </c>
      <c r="I47" s="202" t="str">
        <f>'1.IS'!J$2</f>
        <v/>
      </c>
      <c r="J47" s="202" t="str">
        <f>'1.IS'!K$2</f>
        <v/>
      </c>
      <c r="K47" s="202"/>
      <c r="L47" s="211"/>
    </row>
    <row r="48" spans="1:14" x14ac:dyDescent="0.2">
      <c r="A48" s="164" t="s">
        <v>88</v>
      </c>
      <c r="B48" s="214" t="str">
        <f>'1.IS'!C4</f>
        <v/>
      </c>
      <c r="C48" s="214" t="str">
        <f>'1.IS'!D4</f>
        <v/>
      </c>
      <c r="D48" s="214" t="str">
        <f>'1.IS'!E4</f>
        <v/>
      </c>
      <c r="E48" s="214" t="str">
        <f>'1.IS'!F4</f>
        <v/>
      </c>
      <c r="F48" s="214" t="str">
        <f>'1.IS'!G4</f>
        <v/>
      </c>
      <c r="G48" s="214" t="str">
        <f>'1.IS'!H4</f>
        <v/>
      </c>
      <c r="H48" s="214" t="str">
        <f>'1.IS'!I4</f>
        <v/>
      </c>
      <c r="I48" s="214" t="str">
        <f>'1.IS'!J4</f>
        <v/>
      </c>
      <c r="J48" s="214" t="str">
        <f>'1.IS'!K4</f>
        <v/>
      </c>
      <c r="L48" s="214"/>
    </row>
    <row r="49" spans="1:12" x14ac:dyDescent="0.2">
      <c r="A49" s="164" t="s">
        <v>18</v>
      </c>
      <c r="B49" s="214" t="str">
        <f>'1.IS'!C24</f>
        <v/>
      </c>
      <c r="C49" s="214" t="str">
        <f>'1.IS'!D24</f>
        <v/>
      </c>
      <c r="D49" s="214" t="str">
        <f>'1.IS'!E24</f>
        <v/>
      </c>
      <c r="E49" s="214" t="str">
        <f>'1.IS'!F24</f>
        <v/>
      </c>
      <c r="F49" s="214" t="str">
        <f>'1.IS'!G24</f>
        <v/>
      </c>
      <c r="G49" s="214" t="str">
        <f>'1.IS'!H24</f>
        <v/>
      </c>
      <c r="H49" s="214" t="str">
        <f>'1.IS'!I24</f>
        <v/>
      </c>
      <c r="I49" s="214" t="str">
        <f>'1.IS'!J24</f>
        <v/>
      </c>
      <c r="J49" s="214" t="str">
        <f>'1.IS'!K24</f>
        <v/>
      </c>
      <c r="L49" s="214"/>
    </row>
    <row r="50" spans="1:12" x14ac:dyDescent="0.2">
      <c r="A50" s="164" t="s">
        <v>89</v>
      </c>
      <c r="B50" s="214" t="str">
        <f>'2.FCF'!C16</f>
        <v/>
      </c>
      <c r="C50" s="214" t="str">
        <f>'2.FCF'!D16</f>
        <v/>
      </c>
      <c r="D50" s="214" t="str">
        <f>'2.FCF'!E16</f>
        <v/>
      </c>
      <c r="E50" s="214" t="str">
        <f>'2.FCF'!F16</f>
        <v/>
      </c>
      <c r="F50" s="214" t="str">
        <f>'2.FCF'!G16</f>
        <v/>
      </c>
      <c r="G50" s="214" t="str">
        <f>'2.FCF'!H16</f>
        <v/>
      </c>
      <c r="H50" s="214" t="str">
        <f>'2.FCF'!I16</f>
        <v/>
      </c>
      <c r="I50" s="214" t="str">
        <f>'2.FCF'!J16</f>
        <v/>
      </c>
      <c r="J50" s="214" t="str">
        <f>'2.FCF'!K16</f>
        <v/>
      </c>
      <c r="L50" s="214"/>
    </row>
    <row r="51" spans="1:12" x14ac:dyDescent="0.2">
      <c r="A51" s="2"/>
      <c r="B51" s="215"/>
      <c r="C51" s="215"/>
      <c r="D51" s="215"/>
      <c r="E51" s="215"/>
      <c r="F51" s="215"/>
      <c r="G51" s="215"/>
      <c r="H51" s="215"/>
      <c r="I51" s="215"/>
    </row>
    <row r="52" spans="1:12" x14ac:dyDescent="0.2">
      <c r="A52" s="199" t="s">
        <v>203</v>
      </c>
      <c r="B52" s="215"/>
      <c r="C52" s="215"/>
      <c r="D52" s="215"/>
      <c r="E52" s="215"/>
      <c r="F52" s="215"/>
      <c r="G52" s="215"/>
      <c r="H52" s="215"/>
      <c r="I52" s="215"/>
    </row>
    <row r="53" spans="1:12" x14ac:dyDescent="0.2">
      <c r="A53" s="76"/>
      <c r="B53" s="211" t="str">
        <f>'1.IS'!B$2</f>
        <v/>
      </c>
      <c r="C53" s="211" t="str">
        <f>'1.IS'!C$2</f>
        <v/>
      </c>
      <c r="D53" s="211" t="str">
        <f>'1.IS'!D$2</f>
        <v/>
      </c>
      <c r="E53" s="211" t="str">
        <f>'1.IS'!E$2</f>
        <v/>
      </c>
      <c r="F53" s="211" t="str">
        <f>'1.IS'!F$2</f>
        <v/>
      </c>
      <c r="G53" s="211" t="str">
        <f>'1.IS'!G$2</f>
        <v/>
      </c>
      <c r="H53" s="211" t="str">
        <f>'1.IS'!H$2</f>
        <v/>
      </c>
      <c r="I53" s="211" t="str">
        <f>'1.IS'!I$2</f>
        <v/>
      </c>
      <c r="J53" s="211" t="str">
        <f>'1.IS'!J$2</f>
        <v/>
      </c>
      <c r="K53" s="211" t="str">
        <f>'1.IS'!K$2</f>
        <v/>
      </c>
      <c r="L53" s="211"/>
    </row>
    <row r="54" spans="1:12" x14ac:dyDescent="0.2">
      <c r="A54" s="164" t="s">
        <v>2</v>
      </c>
      <c r="B54" s="216" t="str">
        <f>'1.IS'!B6</f>
        <v/>
      </c>
      <c r="C54" s="216" t="str">
        <f>'1.IS'!C6</f>
        <v/>
      </c>
      <c r="D54" s="216" t="str">
        <f>'1.IS'!D6</f>
        <v/>
      </c>
      <c r="E54" s="216" t="str">
        <f>'1.IS'!E6</f>
        <v/>
      </c>
      <c r="F54" s="216" t="str">
        <f>'1.IS'!F6</f>
        <v/>
      </c>
      <c r="G54" s="216" t="str">
        <f>'1.IS'!G6</f>
        <v/>
      </c>
      <c r="H54" s="216" t="str">
        <f>'1.IS'!H6</f>
        <v/>
      </c>
      <c r="I54" s="216" t="str">
        <f>'1.IS'!I6</f>
        <v/>
      </c>
      <c r="J54" s="216" t="str">
        <f>'1.IS'!J6</f>
        <v/>
      </c>
      <c r="K54" s="216" t="str">
        <f>'1.IS'!K6</f>
        <v/>
      </c>
      <c r="L54" s="216"/>
    </row>
    <row r="55" spans="1:12" x14ac:dyDescent="0.2">
      <c r="A55" s="164" t="s">
        <v>4</v>
      </c>
      <c r="B55" s="216" t="str">
        <f>'1.IS'!B10</f>
        <v/>
      </c>
      <c r="C55" s="216" t="str">
        <f>'1.IS'!C10</f>
        <v/>
      </c>
      <c r="D55" s="216" t="str">
        <f>'1.IS'!D10</f>
        <v/>
      </c>
      <c r="E55" s="216" t="str">
        <f>'1.IS'!E10</f>
        <v/>
      </c>
      <c r="F55" s="216" t="str">
        <f>'1.IS'!F10</f>
        <v/>
      </c>
      <c r="G55" s="216" t="str">
        <f>'1.IS'!G10</f>
        <v/>
      </c>
      <c r="H55" s="216" t="str">
        <f>'1.IS'!H10</f>
        <v/>
      </c>
      <c r="I55" s="216" t="str">
        <f>'1.IS'!I10</f>
        <v/>
      </c>
      <c r="J55" s="216" t="str">
        <f>'1.IS'!J10</f>
        <v/>
      </c>
      <c r="K55" s="216" t="str">
        <f>'1.IS'!K10</f>
        <v/>
      </c>
      <c r="L55" s="216"/>
    </row>
    <row r="56" spans="1:12" x14ac:dyDescent="0.2">
      <c r="A56" s="164" t="s">
        <v>6</v>
      </c>
      <c r="B56" s="216" t="str">
        <f>'2.FCF'!B15</f>
        <v/>
      </c>
      <c r="C56" s="216" t="str">
        <f>'2.FCF'!C15</f>
        <v/>
      </c>
      <c r="D56" s="216" t="str">
        <f>'2.FCF'!D15</f>
        <v/>
      </c>
      <c r="E56" s="216" t="str">
        <f>'2.FCF'!E15</f>
        <v/>
      </c>
      <c r="F56" s="216" t="str">
        <f>'2.FCF'!F15</f>
        <v/>
      </c>
      <c r="G56" s="216" t="str">
        <f>'2.FCF'!G15</f>
        <v/>
      </c>
      <c r="H56" s="216" t="str">
        <f>'2.FCF'!H15</f>
        <v/>
      </c>
      <c r="I56" s="216" t="str">
        <f>'2.FCF'!I15</f>
        <v/>
      </c>
      <c r="J56" s="216" t="str">
        <f>'2.FCF'!J15</f>
        <v/>
      </c>
      <c r="K56" s="216" t="str">
        <f>'2.FCF'!K15</f>
        <v/>
      </c>
      <c r="L56" s="216"/>
    </row>
    <row r="57" spans="1:12" x14ac:dyDescent="0.2">
      <c r="A57" s="2"/>
      <c r="B57" s="215"/>
      <c r="C57" s="214"/>
      <c r="D57" s="214"/>
      <c r="E57" s="214"/>
      <c r="F57" s="214"/>
      <c r="G57" s="214"/>
      <c r="H57" s="214"/>
      <c r="L57" s="215"/>
    </row>
    <row r="58" spans="1:12" x14ac:dyDescent="0.2">
      <c r="A58" s="199" t="s">
        <v>204</v>
      </c>
      <c r="B58" s="215"/>
      <c r="C58" s="214"/>
      <c r="D58" s="214"/>
      <c r="E58" s="214"/>
      <c r="F58" s="214"/>
      <c r="G58" s="214"/>
      <c r="H58" s="214"/>
      <c r="L58" s="215"/>
    </row>
    <row r="59" spans="1:12" x14ac:dyDescent="0.2">
      <c r="A59" s="76"/>
      <c r="B59" s="211" t="str">
        <f>'1.IS'!B$2</f>
        <v/>
      </c>
      <c r="C59" s="211" t="str">
        <f>'1.IS'!C$2</f>
        <v/>
      </c>
      <c r="D59" s="211" t="str">
        <f>'1.IS'!D$2</f>
        <v/>
      </c>
      <c r="E59" s="211" t="str">
        <f>'1.IS'!E$2</f>
        <v/>
      </c>
      <c r="F59" s="211" t="str">
        <f>'1.IS'!F$2</f>
        <v/>
      </c>
      <c r="G59" s="211" t="str">
        <f>'1.IS'!G$2</f>
        <v/>
      </c>
      <c r="H59" s="211" t="str">
        <f>'1.IS'!H$2</f>
        <v/>
      </c>
      <c r="I59" s="211" t="str">
        <f>'1.IS'!I$2</f>
        <v/>
      </c>
      <c r="J59" s="211" t="str">
        <f>'1.IS'!J$2</f>
        <v/>
      </c>
      <c r="K59" s="211" t="str">
        <f>'1.IS'!K$2</f>
        <v/>
      </c>
      <c r="L59" s="211"/>
    </row>
    <row r="60" spans="1:12" x14ac:dyDescent="0.2">
      <c r="A60" s="164" t="s">
        <v>6</v>
      </c>
      <c r="B60" s="217">
        <f>'2.FCF'!B14</f>
        <v>0</v>
      </c>
      <c r="C60" s="217">
        <f>'2.FCF'!C14</f>
        <v>0</v>
      </c>
      <c r="D60" s="217">
        <f>'2.FCF'!D14</f>
        <v>0</v>
      </c>
      <c r="E60" s="217">
        <f>'2.FCF'!E14</f>
        <v>0</v>
      </c>
      <c r="F60" s="217">
        <f>'2.FCF'!F14</f>
        <v>0</v>
      </c>
      <c r="G60" s="217">
        <f>'2.FCF'!G14</f>
        <v>0</v>
      </c>
      <c r="H60" s="217">
        <f>'2.FCF'!H14</f>
        <v>0</v>
      </c>
      <c r="I60" s="217">
        <f>'2.FCF'!I14</f>
        <v>0</v>
      </c>
      <c r="J60" s="217">
        <f>'2.FCF'!J14</f>
        <v>0</v>
      </c>
      <c r="K60" s="217">
        <f>'2.FCF'!K14</f>
        <v>0</v>
      </c>
      <c r="L60" s="215"/>
    </row>
    <row r="61" spans="1:12" x14ac:dyDescent="0.2">
      <c r="A61" s="164" t="s">
        <v>102</v>
      </c>
      <c r="B61" s="214" t="str">
        <f>'3.ROIC'!B15</f>
        <v/>
      </c>
      <c r="C61" s="214" t="str">
        <f>'3.ROIC'!C15</f>
        <v/>
      </c>
      <c r="D61" s="214" t="str">
        <f>'3.ROIC'!D15</f>
        <v/>
      </c>
      <c r="E61" s="214" t="str">
        <f>'3.ROIC'!E15</f>
        <v/>
      </c>
      <c r="F61" s="214" t="str">
        <f>'3.ROIC'!F15</f>
        <v/>
      </c>
      <c r="G61" s="214" t="str">
        <f>'3.ROIC'!G15</f>
        <v/>
      </c>
      <c r="H61" s="214" t="str">
        <f>'3.ROIC'!H15</f>
        <v/>
      </c>
      <c r="I61" s="214" t="str">
        <f>'3.ROIC'!I15</f>
        <v/>
      </c>
      <c r="J61" s="214" t="str">
        <f>'3.ROIC'!J15</f>
        <v/>
      </c>
      <c r="K61" s="214" t="str">
        <f>'3.ROIC'!K15</f>
        <v/>
      </c>
      <c r="L61" s="214"/>
    </row>
    <row r="62" spans="1:12" x14ac:dyDescent="0.2">
      <c r="A62" s="2"/>
      <c r="B62" s="215"/>
      <c r="C62" s="215"/>
      <c r="D62" s="215"/>
      <c r="E62" s="215"/>
      <c r="F62" s="215"/>
      <c r="G62" s="215"/>
      <c r="H62" s="215"/>
      <c r="L62" s="215"/>
    </row>
    <row r="63" spans="1:12" x14ac:dyDescent="0.2">
      <c r="A63" s="76" t="s">
        <v>205</v>
      </c>
      <c r="B63" s="211" t="str">
        <f>'1.IS'!B$2</f>
        <v/>
      </c>
      <c r="C63" s="211" t="str">
        <f>'1.IS'!C$2</f>
        <v/>
      </c>
      <c r="D63" s="211" t="str">
        <f>'1.IS'!D$2</f>
        <v/>
      </c>
      <c r="E63" s="211" t="str">
        <f>'1.IS'!E$2</f>
        <v/>
      </c>
      <c r="F63" s="211" t="str">
        <f>'1.IS'!F$2</f>
        <v/>
      </c>
      <c r="G63" s="211" t="str">
        <f>'1.IS'!G$2</f>
        <v/>
      </c>
      <c r="H63" s="211" t="str">
        <f>'1.IS'!H$2</f>
        <v/>
      </c>
      <c r="I63" s="211" t="str">
        <f>'1.IS'!I$2</f>
        <v/>
      </c>
      <c r="J63" s="211" t="str">
        <f>'1.IS'!J$2</f>
        <v/>
      </c>
      <c r="K63" s="211" t="str">
        <f>'1.IS'!K$2</f>
        <v/>
      </c>
      <c r="L63" s="211"/>
    </row>
    <row r="64" spans="1:12" x14ac:dyDescent="0.2">
      <c r="A64" s="164" t="s">
        <v>94</v>
      </c>
      <c r="B64" s="218" t="str">
        <f>IFERROR(('1.IS'!B3-'1.IS'!B5)/'1.IS'!B3,"")</f>
        <v/>
      </c>
      <c r="C64" s="218" t="str">
        <f>IFERROR(('1.IS'!C3-'1.IS'!C5)/'1.IS'!C3,"")</f>
        <v/>
      </c>
      <c r="D64" s="218" t="str">
        <f>IFERROR(('1.IS'!D3-'1.IS'!D5)/'1.IS'!D3,"")</f>
        <v/>
      </c>
      <c r="E64" s="218" t="str">
        <f>IFERROR(('1.IS'!E3-'1.IS'!E5)/'1.IS'!E3,"")</f>
        <v/>
      </c>
      <c r="F64" s="218" t="str">
        <f>IFERROR(('1.IS'!F3-'1.IS'!F5)/'1.IS'!F3,"")</f>
        <v/>
      </c>
      <c r="G64" s="218" t="str">
        <f>IFERROR(('1.IS'!G3-'1.IS'!G5)/'1.IS'!G3,"")</f>
        <v/>
      </c>
      <c r="H64" s="218" t="str">
        <f>IFERROR(('1.IS'!H3-'1.IS'!H5)/'1.IS'!H3,"")</f>
        <v/>
      </c>
      <c r="I64" s="218" t="str">
        <f>IFERROR(('1.IS'!I3-'1.IS'!I5)/'1.IS'!I3,"")</f>
        <v/>
      </c>
      <c r="J64" s="218" t="str">
        <f>IFERROR(('1.IS'!J3-'1.IS'!J5)/'1.IS'!J3,"")</f>
        <v/>
      </c>
      <c r="K64" s="218" t="str">
        <f>IFERROR(('1.IS'!K3-'1.IS'!K5)/'1.IS'!K3,"")</f>
        <v/>
      </c>
      <c r="L64" s="214"/>
    </row>
    <row r="65" spans="1:12" x14ac:dyDescent="0.2">
      <c r="A65" s="164" t="s">
        <v>100</v>
      </c>
      <c r="B65" s="218" t="str">
        <f>'2.FCF'!B22</f>
        <v/>
      </c>
      <c r="C65" s="218" t="str">
        <f>'2.FCF'!C22</f>
        <v/>
      </c>
      <c r="D65" s="218" t="str">
        <f>'2.FCF'!D22</f>
        <v/>
      </c>
      <c r="E65" s="218" t="str">
        <f>'2.FCF'!E22</f>
        <v/>
      </c>
      <c r="F65" s="218" t="str">
        <f>'2.FCF'!F22</f>
        <v/>
      </c>
      <c r="G65" s="218" t="str">
        <f>'2.FCF'!G22</f>
        <v/>
      </c>
      <c r="H65" s="218" t="str">
        <f>'2.FCF'!H22</f>
        <v/>
      </c>
      <c r="I65" s="218" t="str">
        <f>'2.FCF'!I22</f>
        <v/>
      </c>
      <c r="J65" s="218" t="str">
        <f>'2.FCF'!J22</f>
        <v/>
      </c>
      <c r="K65" s="218" t="str">
        <f>'2.FCF'!K22</f>
        <v/>
      </c>
      <c r="L65" s="214"/>
    </row>
    <row r="66" spans="1:12" x14ac:dyDescent="0.2">
      <c r="A66" s="164" t="s">
        <v>91</v>
      </c>
      <c r="B66" s="218" t="str">
        <f>IFERROR(('1.IS'!B14/'1.IS'!B3),"")</f>
        <v/>
      </c>
      <c r="C66" s="218" t="str">
        <f>IFERROR(('1.IS'!C14/'1.IS'!C3),"")</f>
        <v/>
      </c>
      <c r="D66" s="218" t="str">
        <f>IFERROR(('1.IS'!D14/'1.IS'!D3),"")</f>
        <v/>
      </c>
      <c r="E66" s="218" t="str">
        <f>IFERROR(('1.IS'!E14/'1.IS'!E3),"")</f>
        <v/>
      </c>
      <c r="F66" s="218" t="str">
        <f>IFERROR(('1.IS'!F14/'1.IS'!F3),"")</f>
        <v/>
      </c>
      <c r="G66" s="218" t="str">
        <f>IFERROR(('1.IS'!G14/'1.IS'!G3),"")</f>
        <v/>
      </c>
      <c r="H66" s="218" t="str">
        <f>IFERROR(('1.IS'!H14/'1.IS'!H3),"")</f>
        <v/>
      </c>
      <c r="I66" s="218" t="str">
        <f>IFERROR(('1.IS'!I14/'1.IS'!I3),"")</f>
        <v/>
      </c>
      <c r="J66" s="218" t="str">
        <f>IFERROR(('1.IS'!J14/'1.IS'!J3),"")</f>
        <v/>
      </c>
      <c r="K66" s="218" t="str">
        <f>IFERROR(('1.IS'!K14/'1.IS'!K3),"")</f>
        <v/>
      </c>
      <c r="L66" s="214"/>
    </row>
    <row r="67" spans="1:12" x14ac:dyDescent="0.2">
      <c r="A67" s="164" t="s">
        <v>92</v>
      </c>
      <c r="B67" s="218" t="str">
        <f>IFERROR(('1.IS'!B16+'1.IS'!B19)/'1.IS'!B3,"")</f>
        <v/>
      </c>
      <c r="C67" s="218" t="str">
        <f>IFERROR(('1.IS'!C16+'1.IS'!C19)/'1.IS'!C3,"")</f>
        <v/>
      </c>
      <c r="D67" s="218" t="str">
        <f>IFERROR(('1.IS'!D16+'1.IS'!D19)/'1.IS'!D3,"")</f>
        <v/>
      </c>
      <c r="E67" s="218" t="str">
        <f>IFERROR(('1.IS'!E16+'1.IS'!E19)/'1.IS'!E3,"")</f>
        <v/>
      </c>
      <c r="F67" s="218" t="str">
        <f>IFERROR(('1.IS'!F16+'1.IS'!F19)/'1.IS'!F3,"")</f>
        <v/>
      </c>
      <c r="G67" s="218" t="str">
        <f>IFERROR(('1.IS'!G16+'1.IS'!G19)/'1.IS'!G3,"")</f>
        <v/>
      </c>
      <c r="H67" s="218" t="str">
        <f>IFERROR(('1.IS'!H16+'1.IS'!H19)/'1.IS'!H3,"")</f>
        <v/>
      </c>
      <c r="I67" s="218" t="str">
        <f>IFERROR(('1.IS'!I16+'1.IS'!I19)/'1.IS'!I3,"")</f>
        <v/>
      </c>
      <c r="J67" s="218" t="str">
        <f>IFERROR(('1.IS'!J16+'1.IS'!J19)/'1.IS'!J3,"")</f>
        <v/>
      </c>
      <c r="K67" s="218" t="str">
        <f>IFERROR(('1.IS'!K16+'1.IS'!K19)/'1.IS'!K3,"")</f>
        <v/>
      </c>
      <c r="L67" s="214"/>
    </row>
    <row r="68" spans="1:12" x14ac:dyDescent="0.2">
      <c r="A68" s="164" t="s">
        <v>93</v>
      </c>
      <c r="B68" s="218"/>
      <c r="C68" s="218" t="str">
        <f>IFERROR('2.FCF'!C12/'1.IS'!C3,"")</f>
        <v/>
      </c>
      <c r="D68" s="218" t="str">
        <f>IFERROR('2.FCF'!D12/'1.IS'!D3,"")</f>
        <v/>
      </c>
      <c r="E68" s="218" t="str">
        <f>IFERROR('2.FCF'!E12/'1.IS'!E3,"")</f>
        <v/>
      </c>
      <c r="F68" s="218" t="str">
        <f>IFERROR('2.FCF'!F12/'1.IS'!F3,"")</f>
        <v/>
      </c>
      <c r="G68" s="218" t="str">
        <f>IFERROR('2.FCF'!G12/'1.IS'!G3,"")</f>
        <v/>
      </c>
      <c r="H68" s="218" t="str">
        <f>IFERROR('2.FCF'!H12/'1.IS'!H3,"")</f>
        <v/>
      </c>
      <c r="I68" s="218" t="str">
        <f>IFERROR('2.FCF'!I12/'1.IS'!I3,"")</f>
        <v/>
      </c>
      <c r="J68" s="218" t="str">
        <f>IFERROR('2.FCF'!J12/'1.IS'!J3,"")</f>
        <v/>
      </c>
      <c r="K68" s="218" t="str">
        <f>IFERROR('2.FCF'!K12/'1.IS'!K3,"")</f>
        <v/>
      </c>
      <c r="L68" s="214"/>
    </row>
    <row r="70" spans="1:12" x14ac:dyDescent="0.2">
      <c r="A70" s="76" t="s">
        <v>162</v>
      </c>
      <c r="B70" s="211" t="str">
        <f>'1.IS'!B2</f>
        <v/>
      </c>
      <c r="C70" s="211" t="str">
        <f>'1.IS'!C2</f>
        <v/>
      </c>
      <c r="D70" s="211" t="str">
        <f>'1.IS'!D2</f>
        <v/>
      </c>
      <c r="E70" s="211" t="str">
        <f>'1.IS'!E2</f>
        <v/>
      </c>
      <c r="F70" s="211" t="str">
        <f>'1.IS'!F2</f>
        <v/>
      </c>
      <c r="G70" s="211" t="str">
        <f>'1.IS'!G2</f>
        <v/>
      </c>
      <c r="H70" s="211" t="str">
        <f>'1.IS'!H2</f>
        <v/>
      </c>
      <c r="I70" s="211" t="str">
        <f>'1.IS'!I2</f>
        <v/>
      </c>
      <c r="J70" s="211" t="str">
        <f>'1.IS'!J2</f>
        <v/>
      </c>
      <c r="K70" s="211" t="str">
        <f>'1.IS'!K2</f>
        <v/>
      </c>
      <c r="L70" s="233" t="s">
        <v>134</v>
      </c>
    </row>
    <row r="71" spans="1:12" x14ac:dyDescent="0.2">
      <c r="A71" s="164" t="s">
        <v>163</v>
      </c>
      <c r="C71" s="203">
        <f>IF('1.IS'!C4&lt;0,1,0)</f>
        <v>0</v>
      </c>
      <c r="D71" s="203">
        <f>IF('1.IS'!D4&lt;0,1,0)</f>
        <v>0</v>
      </c>
      <c r="E71" s="203">
        <f>IF('1.IS'!E4&lt;0,1,0)</f>
        <v>0</v>
      </c>
      <c r="F71" s="203">
        <f>IF('1.IS'!F4&lt;0,1,0)</f>
        <v>0</v>
      </c>
      <c r="G71" s="203">
        <f>IF('1.IS'!G4&lt;0,1,0)</f>
        <v>0</v>
      </c>
      <c r="H71" s="203">
        <f>IF('1.IS'!H4&lt;0,1,0)</f>
        <v>0</v>
      </c>
      <c r="I71" s="203">
        <f>IF('1.IS'!I4&lt;0,1,0)</f>
        <v>0</v>
      </c>
      <c r="J71" s="203">
        <f>IF('1.IS'!J4&lt;0,1,0)</f>
        <v>0</v>
      </c>
      <c r="K71" s="203">
        <f>IF('1.IS'!K4&lt;0,1,0)</f>
        <v>0</v>
      </c>
      <c r="L71" s="234">
        <f>SUM(B71:K71)</f>
        <v>0</v>
      </c>
    </row>
    <row r="72" spans="1:12" x14ac:dyDescent="0.2">
      <c r="A72" s="164" t="s">
        <v>164</v>
      </c>
      <c r="C72" s="203">
        <f>IF('1.IS'!C10&lt;'1.IS'!B10,1,0)</f>
        <v>0</v>
      </c>
      <c r="D72" s="203">
        <f>IF('1.IS'!D10&lt;'1.IS'!C10,1,0)</f>
        <v>0</v>
      </c>
      <c r="E72" s="203">
        <f>IF('1.IS'!E10&lt;'1.IS'!D10,1,0)</f>
        <v>0</v>
      </c>
      <c r="F72" s="203">
        <f>IF('1.IS'!F10&lt;'1.IS'!E10,1,0)</f>
        <v>0</v>
      </c>
      <c r="G72" s="203">
        <f>IF('1.IS'!G10&lt;'1.IS'!F10,1,0)</f>
        <v>0</v>
      </c>
      <c r="H72" s="203">
        <f>IF('1.IS'!H10&lt;'1.IS'!G10,1,0)</f>
        <v>0</v>
      </c>
      <c r="I72" s="203">
        <f>IF('1.IS'!I10&lt;'1.IS'!H10,1,0)</f>
        <v>0</v>
      </c>
      <c r="J72" s="203">
        <f>IF('1.IS'!J10&lt;'1.IS'!I10,1,0)</f>
        <v>0</v>
      </c>
      <c r="K72" s="203">
        <f>IF('1.IS'!K10&lt;'1.IS'!J10,1,0)</f>
        <v>0</v>
      </c>
      <c r="L72" s="234">
        <f>SUM(B72:K72)</f>
        <v>0</v>
      </c>
    </row>
    <row r="73" spans="1:12" x14ac:dyDescent="0.2">
      <c r="A73" s="285" t="s">
        <v>214</v>
      </c>
      <c r="B73" s="203" t="str">
        <f>IFERROR(VLOOKUP("Merger &amp; Restructuring Charges*",'7.TIKR_IS'!$A:$K,COLUMN(B4),FALSE),"")</f>
        <v/>
      </c>
      <c r="C73" s="203" t="str">
        <f>IFERROR(VLOOKUP("Merger &amp; Restructuring Charges*",'7.TIKR_IS'!$A:$K,COLUMN(C4),FALSE),"")</f>
        <v/>
      </c>
      <c r="D73" s="203" t="str">
        <f>IFERROR(VLOOKUP("Merger &amp; Restructuring Charges*",'7.TIKR_IS'!$A:$K,COLUMN(D4),FALSE),"")</f>
        <v/>
      </c>
      <c r="E73" s="203" t="str">
        <f>IFERROR(VLOOKUP("Merger &amp; Restructuring Charges*",'7.TIKR_IS'!$A:$K,COLUMN(E4),FALSE),"")</f>
        <v/>
      </c>
      <c r="F73" s="203" t="str">
        <f>IFERROR(VLOOKUP("Merger &amp; Restructuring Charges*",'7.TIKR_IS'!$A:$K,COLUMN(F4),FALSE),"")</f>
        <v/>
      </c>
      <c r="G73" s="203" t="str">
        <f>IFERROR(VLOOKUP("Merger &amp; Restructuring Charges*",'7.TIKR_IS'!$A:$K,COLUMN(G4),FALSE),"")</f>
        <v/>
      </c>
      <c r="H73" s="203" t="str">
        <f>IFERROR(VLOOKUP("Merger &amp; Restructuring Charges*",'7.TIKR_IS'!$A:$K,COLUMN(H4),FALSE),"")</f>
        <v/>
      </c>
      <c r="I73" s="203" t="str">
        <f>IFERROR(VLOOKUP("Merger &amp; Restructuring Charges*",'7.TIKR_IS'!$A:$K,COLUMN(I4),FALSE),"")</f>
        <v/>
      </c>
      <c r="J73" s="203" t="str">
        <f>IFERROR(VLOOKUP("Merger &amp; Restructuring Charges*",'7.TIKR_IS'!$A:$K,COLUMN(J4),FALSE),"")</f>
        <v/>
      </c>
      <c r="K73" s="203" t="str">
        <f>IFERROR(VLOOKUP("Merger &amp; Restructuring Charges*",'7.TIKR_IS'!$A:$K,COLUMN(K4),FALSE),"")</f>
        <v/>
      </c>
      <c r="L73" s="234">
        <f>COUNTIF(B73:K73,"&lt;&gt;"&amp;0)</f>
        <v>10</v>
      </c>
    </row>
    <row r="74" spans="1:12" x14ac:dyDescent="0.2">
      <c r="A74" s="285" t="s">
        <v>215</v>
      </c>
      <c r="B74" s="203" t="str">
        <f>IFERROR(VLOOKUP("Impairment of Goodwill*",'7.TIKR_IS'!$A:$K,COLUMN(B4),FALSE),"")</f>
        <v/>
      </c>
      <c r="C74" s="203" t="str">
        <f>IFERROR(VLOOKUP("Impairment of Goodwill*",'7.TIKR_IS'!$A:$K,COLUMN(C4),FALSE),"")</f>
        <v/>
      </c>
      <c r="D74" s="203" t="str">
        <f>IFERROR(VLOOKUP("Impairment of Goodwill*",'7.TIKR_IS'!$A:$K,COLUMN(D4),FALSE),"")</f>
        <v/>
      </c>
      <c r="E74" s="203" t="str">
        <f>IFERROR(VLOOKUP("Impairment of Goodwill*",'7.TIKR_IS'!$A:$K,COLUMN(E4),FALSE),"")</f>
        <v/>
      </c>
      <c r="F74" s="203" t="str">
        <f>IFERROR(VLOOKUP("Impairment of Goodwill*",'7.TIKR_IS'!$A:$K,COLUMN(F4),FALSE),"")</f>
        <v/>
      </c>
      <c r="G74" s="203" t="str">
        <f>IFERROR(VLOOKUP("Impairment of Goodwill*",'7.TIKR_IS'!$A:$K,COLUMN(G4),FALSE),"")</f>
        <v/>
      </c>
      <c r="H74" s="203" t="str">
        <f>IFERROR(VLOOKUP("Impairment of Goodwill*",'7.TIKR_IS'!$A:$K,COLUMN(H4),FALSE),"")</f>
        <v/>
      </c>
      <c r="I74" s="203" t="str">
        <f>IFERROR(VLOOKUP("Impairment of Goodwill*",'7.TIKR_IS'!$A:$K,COLUMN(I4),FALSE),"")</f>
        <v/>
      </c>
      <c r="J74" s="203" t="str">
        <f>IFERROR(VLOOKUP("Impairment of Goodwill*",'7.TIKR_IS'!$A:$K,COLUMN(J4),FALSE),"")</f>
        <v/>
      </c>
      <c r="K74" s="203" t="str">
        <f>IFERROR(VLOOKUP("Impairment of Goodwill*",'7.TIKR_IS'!$A:$K,COLUMN(K4),FALSE),"")</f>
        <v/>
      </c>
      <c r="L74" s="234">
        <f>COUNTIF(B74:K74,"&lt;&gt;"&amp;0)</f>
        <v>10</v>
      </c>
    </row>
    <row r="75" spans="1:12" x14ac:dyDescent="0.2">
      <c r="A75" s="285" t="s">
        <v>216</v>
      </c>
      <c r="B75" s="203" t="str">
        <f>IFERROR(VLOOKUP("Asset Writedown*",'7.TIKR_IS'!$A:$K,COLUMN(B4),FALSE),"")</f>
        <v/>
      </c>
      <c r="C75" s="203" t="str">
        <f>IFERROR(VLOOKUP("Asset Writedown*",'7.TIKR_IS'!$A:$K,COLUMN(C4),FALSE),"")</f>
        <v/>
      </c>
      <c r="D75" s="203" t="str">
        <f>IFERROR(VLOOKUP("Asset Writedown*",'7.TIKR_IS'!$A:$K,COLUMN(D4),FALSE),"")</f>
        <v/>
      </c>
      <c r="E75" s="203" t="str">
        <f>IFERROR(VLOOKUP("Asset Writedown*",'7.TIKR_IS'!$A:$K,COLUMN(E4),FALSE),"")</f>
        <v/>
      </c>
      <c r="F75" s="203" t="str">
        <f>IFERROR(VLOOKUP("Asset Writedown*",'7.TIKR_IS'!$A:$K,COLUMN(F4),FALSE),"")</f>
        <v/>
      </c>
      <c r="G75" s="203" t="str">
        <f>IFERROR(VLOOKUP("Asset Writedown*",'7.TIKR_IS'!$A:$K,COLUMN(G4),FALSE),"")</f>
        <v/>
      </c>
      <c r="H75" s="203" t="str">
        <f>IFERROR(VLOOKUP("Asset Writedown*",'7.TIKR_IS'!$A:$K,COLUMN(H4),FALSE),"")</f>
        <v/>
      </c>
      <c r="I75" s="203" t="str">
        <f>IFERROR(VLOOKUP("Asset Writedown*",'7.TIKR_IS'!$A:$K,COLUMN(I4),FALSE),"")</f>
        <v/>
      </c>
      <c r="J75" s="203" t="str">
        <f>IFERROR(VLOOKUP("Asset Writedown*",'7.TIKR_IS'!$A:$K,COLUMN(J4),FALSE),"")</f>
        <v/>
      </c>
      <c r="K75" s="203" t="str">
        <f>IFERROR(VLOOKUP("Asset Writedown*",'7.TIKR_IS'!$A:$K,COLUMN(K4),FALSE),"")</f>
        <v/>
      </c>
      <c r="L75" s="234">
        <f t="shared" ref="L75:L78" si="8">COUNTIF(B75:K75,"&lt;&gt;"&amp;0)</f>
        <v>10</v>
      </c>
    </row>
    <row r="76" spans="1:12" x14ac:dyDescent="0.2">
      <c r="A76" s="285" t="s">
        <v>221</v>
      </c>
      <c r="B76" s="203" t="str">
        <f>IFERROR(VLOOKUP("Legal Settlements*",'7.TIKR_IS'!$A:$K,COLUMN(B4),FALSE),"")</f>
        <v/>
      </c>
      <c r="C76" s="203" t="str">
        <f>IFERROR(VLOOKUP("Legal Settlements*",'7.TIKR_IS'!$A:$K,COLUMN(C4),FALSE),"")</f>
        <v/>
      </c>
      <c r="D76" s="203" t="str">
        <f>IFERROR(VLOOKUP("Legal Settlements*",'7.TIKR_IS'!$A:$K,COLUMN(D4),FALSE),"")</f>
        <v/>
      </c>
      <c r="E76" s="203" t="str">
        <f>IFERROR(VLOOKUP("Legal Settlements*",'7.TIKR_IS'!$A:$K,COLUMN(E4),FALSE),"")</f>
        <v/>
      </c>
      <c r="F76" s="203" t="str">
        <f>IFERROR(VLOOKUP("Legal Settlements*",'7.TIKR_IS'!$A:$K,COLUMN(F4),FALSE),"")</f>
        <v/>
      </c>
      <c r="G76" s="203" t="str">
        <f>IFERROR(VLOOKUP("Legal Settlements*",'7.TIKR_IS'!$A:$K,COLUMN(G4),FALSE),"")</f>
        <v/>
      </c>
      <c r="H76" s="203" t="str">
        <f>IFERROR(VLOOKUP("Legal Settlements*",'7.TIKR_IS'!$A:$K,COLUMN(H4),FALSE),"")</f>
        <v/>
      </c>
      <c r="I76" s="203" t="str">
        <f>IFERROR(VLOOKUP("Legal Settlements*",'7.TIKR_IS'!$A:$K,COLUMN(I4),FALSE),"")</f>
        <v/>
      </c>
      <c r="J76" s="203" t="str">
        <f>IFERROR(VLOOKUP("Legal Settlements*",'7.TIKR_IS'!$A:$K,COLUMN(J4),FALSE),"")</f>
        <v/>
      </c>
      <c r="K76" s="203" t="str">
        <f>IFERROR(VLOOKUP("Legal Settlements*",'7.TIKR_IS'!$A:$K,COLUMN(K4),FALSE),"")</f>
        <v/>
      </c>
      <c r="L76" s="234">
        <f t="shared" si="8"/>
        <v>10</v>
      </c>
    </row>
    <row r="77" spans="1:12" x14ac:dyDescent="0.2">
      <c r="A77" s="285" t="s">
        <v>217</v>
      </c>
      <c r="B77" s="203" t="str">
        <f>IFERROR(VLOOKUP("Other Unusual Items*",'7.TIKR_IS'!$A:$K,COLUMN(B4),FALSE),"")</f>
        <v/>
      </c>
      <c r="C77" s="203" t="str">
        <f>IFERROR(VLOOKUP("Other Unusual Items*",'7.TIKR_IS'!$A:$K,COLUMN(C4),FALSE),"")</f>
        <v/>
      </c>
      <c r="D77" s="203" t="str">
        <f>IFERROR(VLOOKUP("Other Unusual Items*",'7.TIKR_IS'!$A:$K,COLUMN(D4),FALSE),"")</f>
        <v/>
      </c>
      <c r="E77" s="203" t="str">
        <f>IFERROR(VLOOKUP("Other Unusual Items*",'7.TIKR_IS'!$A:$K,COLUMN(E4),FALSE),"")</f>
        <v/>
      </c>
      <c r="F77" s="203" t="str">
        <f>IFERROR(VLOOKUP("Other Unusual Items*",'7.TIKR_IS'!$A:$K,COLUMN(F4),FALSE),"")</f>
        <v/>
      </c>
      <c r="G77" s="203" t="str">
        <f>IFERROR(VLOOKUP("Other Unusual Items*",'7.TIKR_IS'!$A:$K,COLUMN(G4),FALSE),"")</f>
        <v/>
      </c>
      <c r="H77" s="203" t="str">
        <f>IFERROR(VLOOKUP("Other Unusual Items*",'7.TIKR_IS'!$A:$K,COLUMN(H4),FALSE),"")</f>
        <v/>
      </c>
      <c r="I77" s="203" t="str">
        <f>IFERROR(VLOOKUP("Other Unusual Items*",'7.TIKR_IS'!$A:$K,COLUMN(I4),FALSE),"")</f>
        <v/>
      </c>
      <c r="J77" s="203" t="str">
        <f>IFERROR(VLOOKUP("Other Unusual Items*",'7.TIKR_IS'!$A:$K,COLUMN(J4),FALSE),"")</f>
        <v/>
      </c>
      <c r="K77" s="203" t="str">
        <f>IFERROR(VLOOKUP("Other Unusual Items*",'7.TIKR_IS'!$A:$K,COLUMN(K4),FALSE),"")</f>
        <v/>
      </c>
      <c r="L77" s="234">
        <f t="shared" si="8"/>
        <v>10</v>
      </c>
    </row>
    <row r="78" spans="1:12" x14ac:dyDescent="0.2">
      <c r="A78" s="164" t="s">
        <v>220</v>
      </c>
      <c r="B78" s="203">
        <f>SUM(B73:B77)</f>
        <v>0</v>
      </c>
      <c r="C78" s="203">
        <f t="shared" ref="C78:K78" si="9">SUM(C73:C77)</f>
        <v>0</v>
      </c>
      <c r="D78" s="203">
        <f t="shared" si="9"/>
        <v>0</v>
      </c>
      <c r="E78" s="203">
        <f t="shared" si="9"/>
        <v>0</v>
      </c>
      <c r="F78" s="203">
        <f t="shared" si="9"/>
        <v>0</v>
      </c>
      <c r="G78" s="203">
        <f t="shared" si="9"/>
        <v>0</v>
      </c>
      <c r="H78" s="203">
        <f t="shared" si="9"/>
        <v>0</v>
      </c>
      <c r="I78" s="203">
        <f t="shared" si="9"/>
        <v>0</v>
      </c>
      <c r="J78" s="203">
        <f t="shared" si="9"/>
        <v>0</v>
      </c>
      <c r="K78" s="203">
        <f t="shared" si="9"/>
        <v>0</v>
      </c>
      <c r="L78" s="234">
        <f t="shared" si="8"/>
        <v>0</v>
      </c>
    </row>
    <row r="79" spans="1:12" x14ac:dyDescent="0.2">
      <c r="A79" s="164" t="s">
        <v>222</v>
      </c>
      <c r="B79" s="203" t="e">
        <f>VLOOKUP("Accounts Payable*",'8.TIKR_BS'!$A:$K,COLUMN(B19),FALSE)</f>
        <v>#N/A</v>
      </c>
      <c r="C79" s="203" t="e">
        <f>VLOOKUP("Accounts Payable*",'8.TIKR_BS'!$A:$K,COLUMN(C19),FALSE)</f>
        <v>#N/A</v>
      </c>
      <c r="D79" s="203" t="e">
        <f>VLOOKUP("Accounts Payable*",'8.TIKR_BS'!$A:$K,COLUMN(D19),FALSE)</f>
        <v>#N/A</v>
      </c>
      <c r="E79" s="203" t="e">
        <f>VLOOKUP("Accounts Payable*",'8.TIKR_BS'!$A:$K,COLUMN(E19),FALSE)</f>
        <v>#N/A</v>
      </c>
      <c r="F79" s="203" t="e">
        <f>VLOOKUP("Accounts Payable*",'8.TIKR_BS'!$A:$K,COLUMN(F19),FALSE)</f>
        <v>#N/A</v>
      </c>
      <c r="G79" s="203" t="e">
        <f>VLOOKUP("Accounts Payable*",'8.TIKR_BS'!$A:$K,COLUMN(G19),FALSE)</f>
        <v>#N/A</v>
      </c>
      <c r="H79" s="203" t="e">
        <f>VLOOKUP("Accounts Payable*",'8.TIKR_BS'!$A:$K,COLUMN(H19),FALSE)</f>
        <v>#N/A</v>
      </c>
      <c r="I79" s="203" t="e">
        <f>VLOOKUP("Accounts Payable*",'8.TIKR_BS'!$A:$K,COLUMN(I19),FALSE)</f>
        <v>#N/A</v>
      </c>
      <c r="J79" s="203" t="e">
        <f>VLOOKUP("Accounts Payable*",'8.TIKR_BS'!$A:$K,COLUMN(J19),FALSE)</f>
        <v>#N/A</v>
      </c>
      <c r="K79" s="203" t="e">
        <f>VLOOKUP("Accounts Payable*",'8.TIKR_BS'!$A:$K,COLUMN(K19),FALSE)</f>
        <v>#N/A</v>
      </c>
      <c r="L79" s="286" t="e">
        <f>(K79/B79)^(1/10)-1</f>
        <v>#N/A</v>
      </c>
    </row>
    <row r="80" spans="1:12" x14ac:dyDescent="0.2">
      <c r="A80" s="164" t="s">
        <v>170</v>
      </c>
      <c r="B80" s="203">
        <f>IF('2.FCF'!B14&lt;0,1,0)</f>
        <v>0</v>
      </c>
      <c r="C80" s="203">
        <f>IF('2.FCF'!C14&lt;0,1,0)</f>
        <v>0</v>
      </c>
      <c r="D80" s="203">
        <f>IF('2.FCF'!D14&lt;0,1,0)</f>
        <v>0</v>
      </c>
      <c r="E80" s="203">
        <f>IF('2.FCF'!E14&lt;0,1,0)</f>
        <v>0</v>
      </c>
      <c r="F80" s="203">
        <f>IF('2.FCF'!F14&lt;0,1,0)</f>
        <v>0</v>
      </c>
      <c r="G80" s="203">
        <f>IF('2.FCF'!G14&lt;0,1,0)</f>
        <v>0</v>
      </c>
      <c r="H80" s="203">
        <f>IF('2.FCF'!H14&lt;0,1,0)</f>
        <v>0</v>
      </c>
      <c r="I80" s="203">
        <f>IF('2.FCF'!I14&lt;0,1,0)</f>
        <v>0</v>
      </c>
      <c r="J80" s="203">
        <f>IF('2.FCF'!J14&lt;0,1,0)</f>
        <v>0</v>
      </c>
      <c r="K80" s="203">
        <f>IF('2.FCF'!K14&lt;0,1,0)</f>
        <v>0</v>
      </c>
      <c r="L80" s="234">
        <f>SUM(B80:K80)</f>
        <v>0</v>
      </c>
    </row>
    <row r="81" spans="1:12" x14ac:dyDescent="0.2">
      <c r="A81" s="164" t="s">
        <v>172</v>
      </c>
      <c r="B81" s="203">
        <f>IF('3.ROIC'!B15&lt;10%,1,0)</f>
        <v>0</v>
      </c>
      <c r="C81" s="203">
        <f>IF('3.ROIC'!C15&lt;10%,1,0)</f>
        <v>0</v>
      </c>
      <c r="D81" s="203">
        <f>IF('3.ROIC'!D15&lt;10%,1,0)</f>
        <v>0</v>
      </c>
      <c r="E81" s="203">
        <f>IF('3.ROIC'!E15&lt;10%,1,0)</f>
        <v>0</v>
      </c>
      <c r="F81" s="203">
        <f>IF('3.ROIC'!F15&lt;10%,1,0)</f>
        <v>0</v>
      </c>
      <c r="G81" s="203">
        <f>IF('3.ROIC'!G15&lt;10%,1,0)</f>
        <v>0</v>
      </c>
      <c r="H81" s="203">
        <f>IF('3.ROIC'!H15&lt;10%,1,0)</f>
        <v>0</v>
      </c>
      <c r="I81" s="203">
        <f>IF('3.ROIC'!I15&lt;10%,1,0)</f>
        <v>0</v>
      </c>
      <c r="J81" s="203">
        <f>IF('3.ROIC'!J15&lt;10%,1,0)</f>
        <v>0</v>
      </c>
      <c r="K81" s="203">
        <f>IF('3.ROIC'!K15&lt;10%,1,0)</f>
        <v>0</v>
      </c>
      <c r="L81" s="234">
        <f>SUM(B81:K81)</f>
        <v>0</v>
      </c>
    </row>
    <row r="82" spans="1:12" x14ac:dyDescent="0.2">
      <c r="A82" s="164" t="s">
        <v>174</v>
      </c>
      <c r="B82" s="203">
        <f>IF('4.Valoracion'!B5&lt;&gt;"",IF('4.Valoracion'!B5&gt;2.5,1,0),0)</f>
        <v>0</v>
      </c>
      <c r="C82" s="203">
        <f>IF('4.Valoracion'!C5&lt;&gt;"",IF('4.Valoracion'!C5&gt;2.5,1,0),0)</f>
        <v>0</v>
      </c>
      <c r="D82" s="203">
        <f>IF('4.Valoracion'!D5&lt;&gt;"",IF('4.Valoracion'!D5&gt;2.5,1,0),0)</f>
        <v>0</v>
      </c>
      <c r="E82" s="203">
        <f>IF('4.Valoracion'!E5&lt;&gt;"",IF('4.Valoracion'!E5&gt;2.5,1,0),0)</f>
        <v>0</v>
      </c>
      <c r="F82" s="203">
        <f>IF('4.Valoracion'!F5&lt;&gt;"",IF('4.Valoracion'!F5&gt;2.5,1,0),0)</f>
        <v>0</v>
      </c>
      <c r="G82" s="203">
        <f>IF('4.Valoracion'!G5&lt;&gt;"",IF('4.Valoracion'!G5&gt;2.5,1,0),0)</f>
        <v>0</v>
      </c>
      <c r="H82" s="203">
        <f>IF('4.Valoracion'!H5&lt;&gt;"",IF('4.Valoracion'!H5&gt;2.5,1,0),0)</f>
        <v>0</v>
      </c>
      <c r="I82" s="203">
        <f>IF('4.Valoracion'!I5&lt;&gt;"",IF('4.Valoracion'!I5&gt;2.5,1,0),0)</f>
        <v>0</v>
      </c>
      <c r="J82" s="203">
        <f>IF('4.Valoracion'!J5&lt;&gt;"",IF('4.Valoracion'!J5&gt;2.5,1,0),0)</f>
        <v>0</v>
      </c>
      <c r="K82" s="203">
        <f>IF('4.Valoracion'!K5&lt;&gt;"",IF('4.Valoracion'!K5&gt;2.5,1,0),0)</f>
        <v>0</v>
      </c>
      <c r="L82" s="234">
        <f>SUM(B82:K82)</f>
        <v>0</v>
      </c>
    </row>
    <row r="84" spans="1:12" x14ac:dyDescent="0.2">
      <c r="A84" s="76" t="s">
        <v>233</v>
      </c>
      <c r="B84" s="298" t="s">
        <v>234</v>
      </c>
      <c r="C84" s="297" t="s">
        <v>239</v>
      </c>
      <c r="D84" s="297" t="s">
        <v>240</v>
      </c>
    </row>
    <row r="85" spans="1:12" x14ac:dyDescent="0.2">
      <c r="A85" s="164" t="s">
        <v>237</v>
      </c>
      <c r="B85" s="299" t="b" cm="1">
        <f t="array" ref="B85">SUMPRODUCT(--(TRIM('7.TIKR_IS'!A3:A100)="Total Revenues")*--(NOT(ISNUMBER('7.TIKR_IS'!B3:K100)))*--('7.TIKR_IS'!B3:K100&lt;&gt;""))&gt;0</f>
        <v>0</v>
      </c>
      <c r="C85" s="299" t="s">
        <v>241</v>
      </c>
      <c r="D85" s="299"/>
    </row>
    <row r="86" spans="1:12" x14ac:dyDescent="0.2">
      <c r="A86" s="164" t="s">
        <v>236</v>
      </c>
      <c r="B86" s="164" t="b">
        <f>COUNTIF('7.TIKR_IS'!B1:J2,"*LTM*")&gt;0</f>
        <v>0</v>
      </c>
      <c r="C86" s="299" t="s">
        <v>242</v>
      </c>
    </row>
    <row r="87" spans="1:12" x14ac:dyDescent="0.2">
      <c r="A87" s="164" t="s">
        <v>238</v>
      </c>
      <c r="B87" s="299" t="b">
        <f>_xlfn.LET(
    _xlpm.FilaNumero, MATCH("Multiples*",'10.TIKR_Val'!A:A,0),
    _xlpm.FechaB, INDEX('10.TIKR_Val'!B:B,_xlpm.FilaNumero),
    _xlpm.FechaC, INDEX('10.TIKR_Val'!C:C,_xlpm.FilaNumero),
    _xlpm.Diferencia, IFERROR(_xlpm.FechaC-_xlpm.FechaB, DATEVALUE(_xlpm.FechaC)-DATEVALUE(_xlpm.FechaB)),
    IFERROR(_xlpm.Diferencia &lt; 200, FALSE)
)</f>
        <v>0</v>
      </c>
      <c r="C87" s="299" t="s">
        <v>243</v>
      </c>
    </row>
    <row r="88" spans="1:12" x14ac:dyDescent="0.2">
      <c r="A88" s="164" t="s">
        <v>245</v>
      </c>
      <c r="B88" t="s">
        <v>235</v>
      </c>
      <c r="C88"/>
      <c r="D88"/>
    </row>
    <row r="89" spans="1:12" x14ac:dyDescent="0.2">
      <c r="B89" s="299"/>
      <c r="C89" s="299"/>
    </row>
  </sheetData>
  <sheetProtection selectLockedCells="1" selectUnlockedCells="1"/>
  <pageMargins left="0.7" right="0.7" top="0.75" bottom="0.75" header="0.3" footer="0.3"/>
  <ignoredErrors>
    <ignoredError sqref="B5:K5" formula="1"/>
  </ignoredErrors>
  <legacyDrawing r:id="rId1"/>
</worksheet>
</file>

<file path=docMetadata/LabelInfo.xml><?xml version="1.0" encoding="utf-8"?>
<clbl:labelList xmlns:clbl="http://schemas.microsoft.com/office/2020/mipLabelMetadata">
  <clbl:label id="{3f4950d4-fb88-44fc-869d-0d4a7f698e90}"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Instrucciones</vt:lpstr>
      <vt:lpstr>1.IS</vt:lpstr>
      <vt:lpstr>2.FCF</vt:lpstr>
      <vt:lpstr>3.ROIC</vt:lpstr>
      <vt:lpstr>4.Valoracion</vt:lpstr>
      <vt:lpstr>5.Red Flags</vt:lpstr>
      <vt:lpstr>6.Graficos</vt:lpstr>
      <vt:lpstr>7.TIKR_IS</vt:lpstr>
      <vt:lpstr>8.TIKR_BS</vt:lpstr>
      <vt:lpstr>9.TIKR_CF</vt:lpstr>
      <vt:lpstr>10.TIKR_Val</vt:lpstr>
      <vt:lpstr>11.Glosario</vt:lpstr>
      <vt:lpstr>TIKR_Cálculos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2025-10-13T20:12:05Z</dcterms:modified>
</cp:coreProperties>
</file>